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\Downloads\SCA_KLTN_Nhom21_Quản lý nhân sự tích hợp AI\"/>
    </mc:Choice>
  </mc:AlternateContent>
  <xr:revisionPtr revIDLastSave="0" documentId="13_ncr:1_{1891C087-47B7-47E6-A5B5-3B03FAF7180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J6" i="4" s="1"/>
  <c r="E10" i="3"/>
  <c r="G6" i="4" s="1"/>
  <c r="E9" i="3"/>
  <c r="E6" i="4" s="1"/>
  <c r="D10" i="3"/>
  <c r="F6" i="4" s="1"/>
  <c r="D9" i="3"/>
  <c r="D6" i="4" s="1"/>
  <c r="D8" i="3"/>
  <c r="B6" i="4" s="1"/>
  <c r="E8" i="3"/>
  <c r="C6" i="4" s="1"/>
  <c r="E12" i="3"/>
  <c r="K6" i="4" s="1"/>
  <c r="E11" i="3"/>
  <c r="I6" i="4" s="1"/>
  <c r="D11" i="3"/>
  <c r="H6" i="4" s="1"/>
  <c r="J73" i="3"/>
  <c r="J72" i="3" s="1"/>
  <c r="T73" i="3"/>
  <c r="T72" i="3" s="1"/>
  <c r="Q73" i="3"/>
  <c r="Q72" i="3" s="1"/>
  <c r="P73" i="3"/>
  <c r="P72" i="3" s="1"/>
  <c r="K73" i="3"/>
  <c r="K72" i="3" s="1"/>
  <c r="L73" i="3"/>
  <c r="L72" i="3" s="1"/>
  <c r="M73" i="3"/>
  <c r="M72" i="3" s="1"/>
  <c r="N73" i="3"/>
  <c r="N72" i="3" s="1"/>
  <c r="O73" i="3"/>
  <c r="O72" i="3" s="1"/>
  <c r="R73" i="3"/>
  <c r="R72" i="3" s="1"/>
  <c r="S73" i="3"/>
  <c r="S72" i="3" s="1"/>
  <c r="U73" i="3"/>
  <c r="U72" i="3" s="1"/>
  <c r="V73" i="3"/>
  <c r="V72" i="3" s="1"/>
  <c r="W73" i="3"/>
  <c r="W72" i="3" s="1"/>
  <c r="I73" i="3"/>
  <c r="I72" i="3" s="1"/>
  <c r="E12" i="2"/>
  <c r="K5" i="4" s="1"/>
  <c r="E11" i="2"/>
  <c r="I5" i="4" s="1"/>
  <c r="E10" i="2"/>
  <c r="G5" i="4" s="1"/>
  <c r="E9" i="2"/>
  <c r="E5" i="4" s="1"/>
  <c r="E8" i="2"/>
  <c r="C5" i="4" s="1"/>
  <c r="D10" i="2"/>
  <c r="F5" i="4" s="1"/>
  <c r="D11" i="2"/>
  <c r="H5" i="4" s="1"/>
  <c r="D12" i="2"/>
  <c r="J5" i="4" s="1"/>
  <c r="D8" i="2"/>
  <c r="B5" i="4" s="1"/>
  <c r="D9" i="2"/>
  <c r="D5" i="4" s="1"/>
  <c r="U70" i="2"/>
  <c r="W70" i="2"/>
  <c r="Y70" i="2"/>
  <c r="I71" i="2"/>
  <c r="I70" i="2" s="1"/>
  <c r="V71" i="2"/>
  <c r="V70" i="2" s="1"/>
  <c r="S71" i="2"/>
  <c r="S70" i="2" s="1"/>
  <c r="T71" i="2"/>
  <c r="T70" i="2" s="1"/>
  <c r="O71" i="2"/>
  <c r="O70" i="2" s="1"/>
  <c r="J71" i="2"/>
  <c r="J70" i="2" s="1"/>
  <c r="K71" i="2"/>
  <c r="K70" i="2" s="1"/>
  <c r="L71" i="2"/>
  <c r="L70" i="2" s="1"/>
  <c r="M71" i="2"/>
  <c r="M70" i="2" s="1"/>
  <c r="N71" i="2"/>
  <c r="N70" i="2" s="1"/>
  <c r="P71" i="2"/>
  <c r="P70" i="2" s="1"/>
  <c r="Q71" i="2"/>
  <c r="Q70" i="2" s="1"/>
  <c r="R71" i="2"/>
  <c r="R70" i="2" s="1"/>
  <c r="U71" i="2"/>
  <c r="W71" i="2"/>
  <c r="X71" i="2"/>
  <c r="X70" i="2" s="1"/>
  <c r="Y71" i="2"/>
  <c r="Z71" i="2"/>
  <c r="Z70" i="2" s="1"/>
  <c r="AA71" i="2"/>
  <c r="AA70" i="2" s="1"/>
  <c r="AB71" i="2"/>
  <c r="AB70" i="2" s="1"/>
  <c r="AC71" i="2"/>
  <c r="AC70" i="2" s="1"/>
  <c r="E12" i="1"/>
  <c r="K4" i="4" s="1"/>
  <c r="E10" i="1"/>
  <c r="G4" i="4" s="1"/>
  <c r="E9" i="1"/>
  <c r="E4" i="4" s="1"/>
  <c r="E11" i="1"/>
  <c r="I4" i="4" s="1"/>
  <c r="E8" i="1"/>
  <c r="C4" i="4" s="1"/>
  <c r="D8" i="1"/>
  <c r="B4" i="4" s="1"/>
  <c r="D9" i="1"/>
  <c r="D4" i="4" s="1"/>
  <c r="D12" i="1"/>
  <c r="J4" i="4" s="1"/>
  <c r="D10" i="1"/>
  <c r="F4" i="4" s="1"/>
  <c r="D11" i="1"/>
  <c r="H4" i="4" s="1"/>
  <c r="AC82" i="1" l="1"/>
  <c r="U82" i="1"/>
  <c r="U83" i="1"/>
  <c r="Q82" i="1"/>
  <c r="Q83" i="1"/>
  <c r="K82" i="1"/>
  <c r="K83" i="1"/>
  <c r="J83" i="1"/>
  <c r="L82" i="1"/>
  <c r="M82" i="1"/>
  <c r="N82" i="1"/>
  <c r="O82" i="1"/>
  <c r="P82" i="1"/>
  <c r="R82" i="1"/>
  <c r="S82" i="1"/>
  <c r="T82" i="1"/>
  <c r="V82" i="1"/>
  <c r="W82" i="1"/>
  <c r="X82" i="1"/>
  <c r="Y82" i="1"/>
  <c r="Z82" i="1"/>
  <c r="AA82" i="1"/>
  <c r="AB82" i="1"/>
  <c r="AC83" i="1"/>
  <c r="L83" i="1"/>
  <c r="M83" i="1"/>
  <c r="N83" i="1"/>
  <c r="O83" i="1"/>
  <c r="P83" i="1"/>
  <c r="R83" i="1"/>
  <c r="S83" i="1"/>
  <c r="T83" i="1"/>
  <c r="V83" i="1"/>
  <c r="W83" i="1"/>
  <c r="X83" i="1"/>
  <c r="Y83" i="1"/>
  <c r="Z83" i="1"/>
  <c r="AA83" i="1"/>
  <c r="AB83" i="1"/>
  <c r="J82" i="1"/>
  <c r="I83" i="1"/>
  <c r="I82" i="1"/>
  <c r="G72" i="3"/>
  <c r="G73" i="3"/>
  <c r="G70" i="2"/>
  <c r="G71" i="2"/>
  <c r="E13" i="3"/>
  <c r="D13" i="3"/>
  <c r="E13" i="2"/>
  <c r="D13" i="2"/>
  <c r="G82" i="1"/>
  <c r="G83" i="1"/>
  <c r="E13" i="1" l="1"/>
  <c r="D13" i="1"/>
  <c r="C7" i="4" l="1"/>
  <c r="G7" i="4"/>
  <c r="E7" i="4"/>
  <c r="I7" i="4"/>
  <c r="K7" i="4"/>
  <c r="F12" i="4" l="1"/>
  <c r="B7" i="4" l="1"/>
  <c r="J7" i="4" l="1"/>
  <c r="H7" i="4"/>
  <c r="F7" i="4"/>
  <c r="D7" i="4"/>
  <c r="F11" i="4" l="1"/>
</calcChain>
</file>

<file path=xl/sharedStrings.xml><?xml version="1.0" encoding="utf-8"?>
<sst xmlns="http://schemas.openxmlformats.org/spreadsheetml/2006/main" count="466" uniqueCount="207">
  <si>
    <t>Project name: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</si>
  <si>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</si>
  <si>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</si>
  <si>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</si>
  <si>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</si>
  <si>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</si>
  <si>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</si>
  <si>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</si>
  <si>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</si>
  <si>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</si>
  <si>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</si>
  <si>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</si>
  <si>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Tổng</t>
  </si>
  <si>
    <t>Lê Xuân Khoa</t>
  </si>
  <si>
    <t>Hoàng Minh Khánh</t>
  </si>
  <si>
    <t>Đỗ Trương Hồng Duyên</t>
  </si>
  <si>
    <t>Phan Dương Phương Duy</t>
  </si>
  <si>
    <t>Sprint</t>
  </si>
  <si>
    <t>Compoment</t>
  </si>
  <si>
    <t>Task name</t>
  </si>
  <si>
    <t>Responsible Member</t>
  </si>
  <si>
    <t>Họp kế hoạch Sprint</t>
  </si>
  <si>
    <t>Tạo Sprint Backlog 1</t>
  </si>
  <si>
    <t>Tạo tài liệu kiểm thử cho Sprint</t>
  </si>
  <si>
    <t>Giao diện đang nhập</t>
  </si>
  <si>
    <t>Giao diện đăng xuất</t>
  </si>
  <si>
    <t>Giao diện quản lí nhân viên</t>
  </si>
  <si>
    <t>Giao diện quản lí tài khoản nhân viên</t>
  </si>
  <si>
    <t>Giao diện quản lí phòng ban</t>
  </si>
  <si>
    <t>Giao diện bản điều khiển</t>
  </si>
  <si>
    <t>Giao diện trang cá nhân</t>
  </si>
  <si>
    <t>User interface 
design</t>
  </si>
  <si>
    <t>Review all user interfaces of sprint 1</t>
  </si>
  <si>
    <t>Kiểm thử cho trường đăng xuất</t>
  </si>
  <si>
    <t>Kiểm thử cho trường đổi mật khẩu</t>
  </si>
  <si>
    <t>Thiết kế cho trường kiểm thử cho đăng nhập</t>
  </si>
  <si>
    <t>Thiết kế cho trường kiểm thử quản lí nhân viên</t>
  </si>
  <si>
    <t>Thiết kế cho trường kiểm thử quản lí tài khoản nhân viên</t>
  </si>
  <si>
    <t>Thiết kế cho trường kiểm thử bản điều khiển</t>
  </si>
  <si>
    <t>Thiết kể quản lí phòng ban</t>
  </si>
  <si>
    <t>Thiết kế kiểm thử cho trang cá nhân</t>
  </si>
  <si>
    <t>Design test
 case</t>
  </si>
  <si>
    <t>Review all test case of sprint 1</t>
  </si>
  <si>
    <t xml:space="preserve">Integrate code </t>
  </si>
  <si>
    <t>Coding</t>
  </si>
  <si>
    <t>Kiểm tra đăng nhập</t>
  </si>
  <si>
    <t>Kiểm tra đăng xuất</t>
  </si>
  <si>
    <t>Kiểm tra đổi mật khẩu</t>
  </si>
  <si>
    <t>Kiểm tra quản lí nhân viên</t>
  </si>
  <si>
    <t>Kiểm tra quản lí tài khoản nhân viên</t>
  </si>
  <si>
    <t>Kiểm tra quản lí phòng ban</t>
  </si>
  <si>
    <t>Kiểm tra bản điều khiển</t>
  </si>
  <si>
    <t>Kiểm tra trang cá nhân</t>
  </si>
  <si>
    <t>Testing</t>
  </si>
  <si>
    <t>Sửa lỗi đăng nhập</t>
  </si>
  <si>
    <t>Sửa lỗi đăng xuất</t>
  </si>
  <si>
    <t>Sửa lỗi đổi mật khẩu</t>
  </si>
  <si>
    <t>Sửa lỗi quản lí nhân viên</t>
  </si>
  <si>
    <t>Sửa lỗi quản lí tài khoản nhân viên</t>
  </si>
  <si>
    <t>Sửa lỗi quản lí phòng ban</t>
  </si>
  <si>
    <t>Sửa lỗi bản điều khiển</t>
  </si>
  <si>
    <t>Sửa lỗi trang cá nhân</t>
  </si>
  <si>
    <t>Fix Bug</t>
  </si>
  <si>
    <t>Kiểm tra lại đăng nhập</t>
  </si>
  <si>
    <t>Kiểm tra lại đăng xuất</t>
  </si>
  <si>
    <t>Kiểm tra lại đổi mật khẩu</t>
  </si>
  <si>
    <t>Kiểm tra lại quản lí nhân viên</t>
  </si>
  <si>
    <t>Kiểm tra lại quản lí tài khoản nhân viên</t>
  </si>
  <si>
    <t>Kiểm tra lại quản lí phòng ban</t>
  </si>
  <si>
    <t>Kiểm tra lại bản điều khiển</t>
  </si>
  <si>
    <t>Kiểm tra lại trang cá nhân</t>
  </si>
  <si>
    <t>Re-testing</t>
  </si>
  <si>
    <t>Sprint 1 review meeting</t>
  </si>
  <si>
    <t>Sprint 1 retrospective</t>
  </si>
  <si>
    <t>Release Sprint 1</t>
  </si>
  <si>
    <t>All Team</t>
  </si>
  <si>
    <t>Khoa</t>
  </si>
  <si>
    <t>Duy</t>
  </si>
  <si>
    <t>Duyên</t>
  </si>
  <si>
    <t>Rin</t>
  </si>
  <si>
    <t>Khánh</t>
  </si>
  <si>
    <t xml:space="preserve">Duyên </t>
  </si>
  <si>
    <t>Kết thúc</t>
  </si>
  <si>
    <t>Tăng ca</t>
  </si>
  <si>
    <t>Chậm tiến độ</t>
  </si>
  <si>
    <t>XÂY DỰNG HỆ THỐNG QUẢN LÝ NHÂN SỰ CHO DOANH NGHIỆP NHỎ TÍCH HỢP CHATBOT AI HỖ TRỢ TRA CỨU THÔNG TIN</t>
  </si>
  <si>
    <t>Sprint 2</t>
  </si>
  <si>
    <t>Tạo Sprint Backlog 2</t>
  </si>
  <si>
    <t>Giao diện quản lí chấm công</t>
  </si>
  <si>
    <t>Giao diện lịch sử chấm công</t>
  </si>
  <si>
    <t>Giao diện xin nghỉ phép</t>
  </si>
  <si>
    <t>Giao diện lịch sử lương</t>
  </si>
  <si>
    <t>Giao diện quản lí lương</t>
  </si>
  <si>
    <t>Review all user interfaces of sprint 2</t>
  </si>
  <si>
    <t>Thiết kế cho trường kiểm thử cho lịch sử chấm công</t>
  </si>
  <si>
    <t>Kiểm thử cho trường quản lí chấm công</t>
  </si>
  <si>
    <t>Kiểm thử cho trường xin nghỉ phép</t>
  </si>
  <si>
    <t>Giao diện quản lí đơn nghỉ phép</t>
  </si>
  <si>
    <t>Thiết kế cho trường kiểm thử quản lí đơn xin nghỉ phép</t>
  </si>
  <si>
    <t>Thiết kế cho trường kiểm thử lịch sử lương</t>
  </si>
  <si>
    <t>Thiết kế cho trường kiểm thử quản lí lương</t>
  </si>
  <si>
    <t>Review all test case of sprint 2</t>
  </si>
  <si>
    <t>Kiểm tra lịch sử chấm công</t>
  </si>
  <si>
    <t>Kiểm tra quản lí chấm công</t>
  </si>
  <si>
    <t>Kiểm tra xin nghỉ phép</t>
  </si>
  <si>
    <t>Kiểm tra quản lí đơn xin nghỉ phép</t>
  </si>
  <si>
    <t>Kiểm tra lịch sử lương</t>
  </si>
  <si>
    <t>Kiểm tra quản lí lương</t>
  </si>
  <si>
    <t>Sửa lỗi lịch sử chấm công</t>
  </si>
  <si>
    <t>Sửa lỗi quản lí chấm công</t>
  </si>
  <si>
    <t>Sửa lỗi xin nghỉ phép</t>
  </si>
  <si>
    <t>Sửa lỗi quản lí đơn nghỉ phép</t>
  </si>
  <si>
    <t>Sửa lỗi lịch sử lương</t>
  </si>
  <si>
    <t>Sửa lỗi quản lí lương</t>
  </si>
  <si>
    <t>Kiểm tra lại lịch sử chấm công</t>
  </si>
  <si>
    <t>Kiểm tra lại quản lí chấm công</t>
  </si>
  <si>
    <t>Kiểm tra lại xin nghỉ phép</t>
  </si>
  <si>
    <t>Kiểm tra lại quản lí đơn nghỉ phép</t>
  </si>
  <si>
    <t>Kiểm tra lại lịch sử lương</t>
  </si>
  <si>
    <t>Kiểm tra lại quản lí lương</t>
  </si>
  <si>
    <t>Sprint 3</t>
  </si>
  <si>
    <t>Tạo Sprint Backlog 3</t>
  </si>
  <si>
    <t>sprint 2</t>
  </si>
  <si>
    <t>Giao diện quản lí và gửi thông báo</t>
  </si>
  <si>
    <t>Giao diện quản lí hợp đồng</t>
  </si>
  <si>
    <t>Giao diện hợp đồng cá nhân</t>
  </si>
  <si>
    <t>Giao diện danh sách tuyển dụng</t>
  </si>
  <si>
    <t>Giao diện quản lí tin tuyển dụng</t>
  </si>
  <si>
    <t>Giao diện cửa sổ chatbot</t>
  </si>
  <si>
    <t>Review all user interfaces of sprint 3</t>
  </si>
  <si>
    <t>Thiết kế cho trường kiểm thử cho quản lí và gửi thông báo</t>
  </si>
  <si>
    <t>Kiểm thử cho trường quản lí hợp đồng</t>
  </si>
  <si>
    <t>Thiết kế cho trường kiểm thử quản lí tin tuyển dụng</t>
  </si>
  <si>
    <t>Kiểm thử cho trường hợp đồng cá nhân</t>
  </si>
  <si>
    <t>Thiết kế cho trường kiểm thử danh sách tuyển dụng</t>
  </si>
  <si>
    <t>Thiết kế cho trường kiểm thử cửa số chatbot</t>
  </si>
  <si>
    <t>Review all test case of sprint 3</t>
  </si>
  <si>
    <t xml:space="preserve">Rin </t>
  </si>
  <si>
    <t>Kiểm tra quản lí và gửi thông báo</t>
  </si>
  <si>
    <t>Kiểm tra quản lí hợp đồng</t>
  </si>
  <si>
    <t>Kiểm tra hợp đồng cá nhân</t>
  </si>
  <si>
    <t>Kiểm tra danh sách tuyển dụng</t>
  </si>
  <si>
    <t>Kiểm tra quản lí tin tuyển dụng</t>
  </si>
  <si>
    <t>Kiểm tra cửa sổ chatbot</t>
  </si>
  <si>
    <t>Sửa lỗi quản lí và gửi thông báo</t>
  </si>
  <si>
    <t>Sửa lỗi quản lí hợp đồng</t>
  </si>
  <si>
    <t>Sửa lỗi hợp đồng cá nhân</t>
  </si>
  <si>
    <t>Sửa lỗi danh sách tuyển dụng</t>
  </si>
  <si>
    <t>Sửa lỗi quản lí tin tuyển udngj</t>
  </si>
  <si>
    <t>Sửa lỗi cửa sổ chatbot</t>
  </si>
  <si>
    <t>Kiểm tra lại quản lí và gửi thông báo</t>
  </si>
  <si>
    <t>Kiểm tra lại quản lí hợp đồng</t>
  </si>
  <si>
    <t>Kiểm tra lại hợp đồng cá nhân</t>
  </si>
  <si>
    <t>Kiểm tra lại danh sách tin tuyển dụng</t>
  </si>
  <si>
    <t>Kiểm tra lại quản lí tin tuyển dụng</t>
  </si>
  <si>
    <t>SPRINT BACKLOG REPORT</t>
  </si>
  <si>
    <t>FINAL TOTAL</t>
  </si>
  <si>
    <t xml:space="preserve">Khoa </t>
  </si>
  <si>
    <t>Khoa,Khánh,Duyên</t>
  </si>
  <si>
    <t>Duyên Khánh</t>
  </si>
  <si>
    <t>Đổi mật khẩu</t>
  </si>
  <si>
    <t>Code back-end cho trang đăng nhập</t>
  </si>
  <si>
    <t>Code back-end cho trang đổi mật khẩu</t>
  </si>
  <si>
    <t>Code back-end cho trang quản lí nhân viên</t>
  </si>
  <si>
    <t>Code back-end cho trang quản lí tài khoản nhân viên</t>
  </si>
  <si>
    <t>Code back-end cho trang Quản lí phòng ban</t>
  </si>
  <si>
    <t>Code back-end cho trang điều khiển</t>
  </si>
  <si>
    <t>Code back-end cho trang cá nhân</t>
  </si>
  <si>
    <t>Code back-end cho lịch sử chấm công</t>
  </si>
  <si>
    <t>Thiết kê font-end cho trang quản lí chấm công</t>
  </si>
  <si>
    <t>Code back-end cho trang quản lí chấm công</t>
  </si>
  <si>
    <t>Code back-end cho trang xin nghỉ phép</t>
  </si>
  <si>
    <t>Code back-end cho trang quản lí đơn nghỉ phép</t>
  </si>
  <si>
    <t>Code back-end cho trang lịch sử lương</t>
  </si>
  <si>
    <t>Code back-end cho trang quản lí lương</t>
  </si>
  <si>
    <t>Thiết kế font-end cho trang đăng nhập</t>
  </si>
  <si>
    <t>Thiết kế font-end cho trang đổi mật khẩu</t>
  </si>
  <si>
    <t>Thiết kế font-end cho trang quản lí nhân viên</t>
  </si>
  <si>
    <t>Thiết kế font-end cho trang quản lí tài khoản nhân viên</t>
  </si>
  <si>
    <t>Thiết kế font-end cho trang Quản lí phòng ban</t>
  </si>
  <si>
    <t>Thiết kế font-end cho trang điều khiển</t>
  </si>
  <si>
    <t>Thiết kế font-end cho trang cá nhân</t>
  </si>
  <si>
    <t>Thiết kế font-end cho lịch sử chấm công</t>
  </si>
  <si>
    <t>Thiết kế font-end cho trang xin nghỉ phép</t>
  </si>
  <si>
    <t>Thiết kế font-end cho trang quản lí đơn nghỉ phép</t>
  </si>
  <si>
    <t>Thiết kế font-end cho trang lịch sử lương</t>
  </si>
  <si>
    <t>Thiết kế font-end cho trang quản lí lương</t>
  </si>
  <si>
    <t>Thiết kế font-end cho quản lí và gửi thông báo</t>
  </si>
  <si>
    <t>Thiết kế font-end cho trang quản lí hợp đồng</t>
  </si>
  <si>
    <t>Thiết kế font-end cho trang hợp đồng cá nhân</t>
  </si>
  <si>
    <t>Thiết kế font-end cho trang danh sách tuyển dụng</t>
  </si>
  <si>
    <t>Thiết kế font-end cho trang quản lí tin tuyển dụng</t>
  </si>
  <si>
    <t>Thiết kế font-end cho  cửa sổ chatbot</t>
  </si>
  <si>
    <t>Code back-end cho quản lí và gửi thông báo</t>
  </si>
  <si>
    <t>Code back-end cho trang quản lí hợp đồng</t>
  </si>
  <si>
    <t>Code back-end cho trang hợp đồng cá nhân</t>
  </si>
  <si>
    <t>Code back-end cho trang danh sách tuyển dụng</t>
  </si>
  <si>
    <t>Code back-end cho trang quản lí tin tuyển dụng</t>
  </si>
  <si>
    <t>Code back-end cho cửa sổ chatbot</t>
  </si>
  <si>
    <t>Phan Đình Rin</t>
  </si>
  <si>
    <t>Release Sprint 2</t>
  </si>
  <si>
    <t>Release Sprint 3</t>
  </si>
  <si>
    <t>Sprint 3 retrospective</t>
  </si>
  <si>
    <t>Sprint 3 review meeting</t>
  </si>
  <si>
    <t>Sprint 2 review meeting</t>
  </si>
  <si>
    <t>Sprint 2 retrospective</t>
  </si>
  <si>
    <t>Code chức năng đăng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</si>
</sst>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5" borderId="8" xfId="0" applyFont="1" applyFill="1" applyBorder="1" applyAlignment="1">
      <alignment vertical="center"/>
    </xf>
    <xf numFmtId="0" fontId="1" fillId="0" borderId="8" xfId="0" applyFont="1" applyBorder="1" applyAlignment="1">
      <alignment vertical="center" textRotation="90" wrapText="1"/>
    </xf>
    <xf numFmtId="0" fontId="2" fillId="0" borderId="8" xfId="0" applyFont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10" borderId="6" xfId="0" applyFont="1" applyFill="1" applyBorder="1" applyAlignment="1">
      <alignment horizontal="left" vertical="center"/>
    </xf>
    <xf numFmtId="0" fontId="1" fillId="10" borderId="15" xfId="0" applyFont="1" applyFill="1" applyBorder="1" applyAlignment="1">
      <alignment horizontal="center" vertical="center"/>
    </xf>
    <xf numFmtId="0" fontId="2" fillId="10" borderId="4" xfId="0" applyFont="1" applyFill="1" applyBorder="1"/>
    <xf numFmtId="0" fontId="2" fillId="0" borderId="5" xfId="0" applyFont="1" applyBorder="1"/>
    <xf numFmtId="0" fontId="2" fillId="10" borderId="6" xfId="0" applyFont="1" applyFill="1" applyBorder="1"/>
    <xf numFmtId="0" fontId="2" fillId="0" borderId="7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2" borderId="2" xfId="0" applyFont="1" applyFill="1" applyBorder="1"/>
    <xf numFmtId="0" fontId="5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top"/>
    </xf>
    <xf numFmtId="0" fontId="3" fillId="3" borderId="4" xfId="0" applyFont="1" applyFill="1" applyBorder="1"/>
    <xf numFmtId="0" fontId="3" fillId="8" borderId="4" xfId="0" applyFont="1" applyFill="1" applyBorder="1"/>
    <xf numFmtId="0" fontId="3" fillId="4" borderId="6" xfId="0" applyFont="1" applyFill="1" applyBorder="1"/>
    <xf numFmtId="0" fontId="5" fillId="0" borderId="7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3" fillId="7" borderId="4" xfId="0" applyFont="1" applyFill="1" applyBorder="1"/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/>
    <xf numFmtId="0" fontId="2" fillId="3" borderId="8" xfId="0" applyFont="1" applyFill="1" applyBorder="1"/>
    <xf numFmtId="14" fontId="2" fillId="0" borderId="8" xfId="0" applyNumberFormat="1" applyFont="1" applyBorder="1" applyAlignment="1">
      <alignment textRotation="90"/>
    </xf>
    <xf numFmtId="0" fontId="2" fillId="0" borderId="8" xfId="0" applyFont="1" applyBorder="1"/>
    <xf numFmtId="0" fontId="4" fillId="5" borderId="8" xfId="0" applyFont="1" applyFill="1" applyBorder="1" applyAlignment="1">
      <alignment vertical="center"/>
    </xf>
    <xf numFmtId="0" fontId="4" fillId="0" borderId="8" xfId="0" applyFont="1" applyBorder="1" applyAlignment="1">
      <alignment vertical="center" textRotation="90" wrapText="1"/>
    </xf>
    <xf numFmtId="14" fontId="3" fillId="0" borderId="8" xfId="0" applyNumberFormat="1" applyFont="1" applyBorder="1" applyAlignment="1">
      <alignment textRotation="90"/>
    </xf>
    <xf numFmtId="0" fontId="3" fillId="0" borderId="8" xfId="0" applyFont="1" applyBorder="1"/>
    <xf numFmtId="0" fontId="3" fillId="2" borderId="8" xfId="0" applyFont="1" applyFill="1" applyBorder="1" applyAlignment="1">
      <alignment vertical="center"/>
    </xf>
    <xf numFmtId="0" fontId="3" fillId="4" borderId="8" xfId="0" applyFont="1" applyFill="1" applyBorder="1"/>
    <xf numFmtId="0" fontId="3" fillId="3" borderId="8" xfId="0" applyFont="1" applyFill="1" applyBorder="1"/>
    <xf numFmtId="0" fontId="3" fillId="11" borderId="4" xfId="0" applyFont="1" applyFill="1" applyBorder="1"/>
    <xf numFmtId="14" fontId="3" fillId="0" borderId="8" xfId="0" applyNumberFormat="1" applyFont="1" applyBorder="1" applyAlignment="1">
      <alignment vertical="center" textRotation="90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2" borderId="2" xfId="0" applyFont="1" applyFill="1" applyBorder="1"/>
    <xf numFmtId="0" fontId="6" fillId="0" borderId="3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7" borderId="4" xfId="0" applyFont="1" applyFill="1" applyBorder="1"/>
    <xf numFmtId="0" fontId="6" fillId="0" borderId="5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top"/>
    </xf>
    <xf numFmtId="0" fontId="2" fillId="3" borderId="4" xfId="0" applyFont="1" applyFill="1" applyBorder="1"/>
    <xf numFmtId="0" fontId="2" fillId="8" borderId="4" xfId="0" applyFont="1" applyFill="1" applyBorder="1"/>
    <xf numFmtId="0" fontId="2" fillId="4" borderId="6" xfId="0" applyFont="1" applyFill="1" applyBorder="1"/>
    <xf numFmtId="0" fontId="6" fillId="0" borderId="7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textRotation="90"/>
    </xf>
    <xf numFmtId="0" fontId="1" fillId="5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textRotation="90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48115987059253E-2"/>
          <c:y val="2.0599259204748935E-2"/>
          <c:w val="0.8514489115651821"/>
          <c:h val="0.87796059669756465"/>
        </c:manualLayout>
      </c:layout>
      <c:lineChart>
        <c:grouping val="standard"/>
        <c:varyColors val="0"/>
        <c:ser>
          <c:idx val="0"/>
          <c:order val="0"/>
          <c:tx>
            <c:strRef>
              <c:f>'Sprint 1'!$E$82:$F$82</c:f>
              <c:strCache>
                <c:ptCount val="2"/>
                <c:pt idx="0">
                  <c:v>Thực tế</c:v>
                </c:pt>
              </c:strCache>
            </c:strRef>
          </c:tx>
          <c:cat>
            <c:numRef>
              <c:f>'Sprint 1'!$I$15:$AC$15</c:f>
              <c:numCache>
                <c:formatCode>m/d/yyyy</c:formatCode>
                <c:ptCount val="2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</c:numCache>
            </c:numRef>
          </c:cat>
          <c:val>
            <c:numRef>
              <c:f>'Sprint 1'!$I$82:$AD$82</c:f>
              <c:numCache>
                <c:formatCode>General</c:formatCode>
                <c:ptCount val="22"/>
                <c:pt idx="0">
                  <c:v>157</c:v>
                </c:pt>
                <c:pt idx="1">
                  <c:v>149</c:v>
                </c:pt>
                <c:pt idx="2">
                  <c:v>139</c:v>
                </c:pt>
                <c:pt idx="3">
                  <c:v>136</c:v>
                </c:pt>
                <c:pt idx="4">
                  <c:v>126</c:v>
                </c:pt>
                <c:pt idx="5">
                  <c:v>116</c:v>
                </c:pt>
                <c:pt idx="6">
                  <c:v>110</c:v>
                </c:pt>
                <c:pt idx="7">
                  <c:v>100</c:v>
                </c:pt>
                <c:pt idx="8">
                  <c:v>78</c:v>
                </c:pt>
                <c:pt idx="9">
                  <c:v>64</c:v>
                </c:pt>
                <c:pt idx="10">
                  <c:v>62</c:v>
                </c:pt>
                <c:pt idx="11">
                  <c:v>52</c:v>
                </c:pt>
                <c:pt idx="12">
                  <c:v>38</c:v>
                </c:pt>
                <c:pt idx="13">
                  <c:v>28</c:v>
                </c:pt>
                <c:pt idx="14">
                  <c:v>23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5A2-4530-983B-DE5EA5344702}"/>
            </c:ext>
          </c:extLst>
        </c:ser>
        <c:ser>
          <c:idx val="1"/>
          <c:order val="1"/>
          <c:tx>
            <c:strRef>
              <c:f>'Sprint 1'!$E$83:$F$83</c:f>
              <c:strCache>
                <c:ptCount val="2"/>
                <c:pt idx="0">
                  <c:v>Ước tính</c:v>
                </c:pt>
              </c:strCache>
            </c:strRef>
          </c:tx>
          <c:cat>
            <c:numRef>
              <c:f>'Sprint 1'!$I$15:$AC$15</c:f>
              <c:numCache>
                <c:formatCode>m/d/yyyy</c:formatCode>
                <c:ptCount val="2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</c:numCache>
            </c:numRef>
          </c:cat>
          <c:val>
            <c:numRef>
              <c:f>'Sprint 1'!$I$83:$AC$83</c:f>
              <c:numCache>
                <c:formatCode>General</c:formatCode>
                <c:ptCount val="21"/>
                <c:pt idx="0">
                  <c:v>157</c:v>
                </c:pt>
                <c:pt idx="1">
                  <c:v>149</c:v>
                </c:pt>
                <c:pt idx="2">
                  <c:v>140</c:v>
                </c:pt>
                <c:pt idx="3">
                  <c:v>136</c:v>
                </c:pt>
                <c:pt idx="4">
                  <c:v>126</c:v>
                </c:pt>
                <c:pt idx="5">
                  <c:v>116</c:v>
                </c:pt>
                <c:pt idx="6">
                  <c:v>110</c:v>
                </c:pt>
                <c:pt idx="7">
                  <c:v>100</c:v>
                </c:pt>
                <c:pt idx="8">
                  <c:v>77</c:v>
                </c:pt>
                <c:pt idx="9">
                  <c:v>64</c:v>
                </c:pt>
                <c:pt idx="10">
                  <c:v>62</c:v>
                </c:pt>
                <c:pt idx="11">
                  <c:v>52</c:v>
                </c:pt>
                <c:pt idx="12">
                  <c:v>39</c:v>
                </c:pt>
                <c:pt idx="13">
                  <c:v>28</c:v>
                </c:pt>
                <c:pt idx="14">
                  <c:v>23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5A2-4530-983B-DE5EA5344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3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48115987059253E-2"/>
          <c:y val="2.0599259204748935E-2"/>
          <c:w val="0.8514489115651821"/>
          <c:h val="0.87796059669756465"/>
        </c:manualLayout>
      </c:layout>
      <c:lineChart>
        <c:grouping val="standard"/>
        <c:varyColors val="0"/>
        <c:ser>
          <c:idx val="0"/>
          <c:order val="0"/>
          <c:tx>
            <c:strRef>
              <c:f>'Sprint 2'!$E$70:$F$70</c:f>
              <c:strCache>
                <c:ptCount val="2"/>
                <c:pt idx="0">
                  <c:v>Thực tế</c:v>
                </c:pt>
              </c:strCache>
            </c:strRef>
          </c:tx>
          <c:cat>
            <c:numRef>
              <c:f>'Sprint 2'!$I$15:$AC$15</c:f>
              <c:numCache>
                <c:formatCode>m/d/yyyy</c:formatCode>
                <c:ptCount val="21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  <c:pt idx="11">
                  <c:v>46133</c:v>
                </c:pt>
                <c:pt idx="12">
                  <c:v>46134</c:v>
                </c:pt>
                <c:pt idx="13">
                  <c:v>46135</c:v>
                </c:pt>
                <c:pt idx="14">
                  <c:v>46136</c:v>
                </c:pt>
                <c:pt idx="15">
                  <c:v>46137</c:v>
                </c:pt>
                <c:pt idx="16">
                  <c:v>46138</c:v>
                </c:pt>
                <c:pt idx="17">
                  <c:v>46139</c:v>
                </c:pt>
                <c:pt idx="18">
                  <c:v>46140</c:v>
                </c:pt>
                <c:pt idx="19">
                  <c:v>46141</c:v>
                </c:pt>
                <c:pt idx="20">
                  <c:v>46142</c:v>
                </c:pt>
              </c:numCache>
            </c:numRef>
          </c:cat>
          <c:val>
            <c:numRef>
              <c:f>'Sprint 2'!$I$70:$AC$70</c:f>
              <c:numCache>
                <c:formatCode>General</c:formatCode>
                <c:ptCount val="21"/>
                <c:pt idx="0">
                  <c:v>126</c:v>
                </c:pt>
                <c:pt idx="1">
                  <c:v>124</c:v>
                </c:pt>
                <c:pt idx="2">
                  <c:v>112</c:v>
                </c:pt>
                <c:pt idx="3">
                  <c:v>102</c:v>
                </c:pt>
                <c:pt idx="4">
                  <c:v>90</c:v>
                </c:pt>
                <c:pt idx="5">
                  <c:v>80</c:v>
                </c:pt>
                <c:pt idx="6">
                  <c:v>74</c:v>
                </c:pt>
                <c:pt idx="7">
                  <c:v>73</c:v>
                </c:pt>
                <c:pt idx="8">
                  <c:v>68</c:v>
                </c:pt>
                <c:pt idx="9">
                  <c:v>63</c:v>
                </c:pt>
                <c:pt idx="10">
                  <c:v>51</c:v>
                </c:pt>
                <c:pt idx="11">
                  <c:v>40</c:v>
                </c:pt>
                <c:pt idx="12">
                  <c:v>22</c:v>
                </c:pt>
                <c:pt idx="13">
                  <c:v>19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AE-4875-B39D-A9DE8F2C57DD}"/>
            </c:ext>
          </c:extLst>
        </c:ser>
        <c:ser>
          <c:idx val="1"/>
          <c:order val="1"/>
          <c:tx>
            <c:strRef>
              <c:f>'Sprint 2'!$E$71:$F$71</c:f>
              <c:strCache>
                <c:ptCount val="2"/>
                <c:pt idx="0">
                  <c:v>Ước tính</c:v>
                </c:pt>
              </c:strCache>
            </c:strRef>
          </c:tx>
          <c:cat>
            <c:numRef>
              <c:f>'Sprint 2'!$I$15:$AC$15</c:f>
              <c:numCache>
                <c:formatCode>m/d/yyyy</c:formatCode>
                <c:ptCount val="21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  <c:pt idx="11">
                  <c:v>46133</c:v>
                </c:pt>
                <c:pt idx="12">
                  <c:v>46134</c:v>
                </c:pt>
                <c:pt idx="13">
                  <c:v>46135</c:v>
                </c:pt>
                <c:pt idx="14">
                  <c:v>46136</c:v>
                </c:pt>
                <c:pt idx="15">
                  <c:v>46137</c:v>
                </c:pt>
                <c:pt idx="16">
                  <c:v>46138</c:v>
                </c:pt>
                <c:pt idx="17">
                  <c:v>46139</c:v>
                </c:pt>
                <c:pt idx="18">
                  <c:v>46140</c:v>
                </c:pt>
                <c:pt idx="19">
                  <c:v>46141</c:v>
                </c:pt>
                <c:pt idx="20">
                  <c:v>46142</c:v>
                </c:pt>
              </c:numCache>
            </c:numRef>
          </c:cat>
          <c:val>
            <c:numRef>
              <c:f>'Sprint 2'!$I$71:$AC$71</c:f>
              <c:numCache>
                <c:formatCode>General</c:formatCode>
                <c:ptCount val="21"/>
                <c:pt idx="0">
                  <c:v>126</c:v>
                </c:pt>
                <c:pt idx="1">
                  <c:v>124</c:v>
                </c:pt>
                <c:pt idx="2">
                  <c:v>112</c:v>
                </c:pt>
                <c:pt idx="3">
                  <c:v>102</c:v>
                </c:pt>
                <c:pt idx="4">
                  <c:v>90</c:v>
                </c:pt>
                <c:pt idx="5">
                  <c:v>80</c:v>
                </c:pt>
                <c:pt idx="6">
                  <c:v>76</c:v>
                </c:pt>
                <c:pt idx="7">
                  <c:v>73</c:v>
                </c:pt>
                <c:pt idx="8">
                  <c:v>68</c:v>
                </c:pt>
                <c:pt idx="9">
                  <c:v>63</c:v>
                </c:pt>
                <c:pt idx="10">
                  <c:v>50</c:v>
                </c:pt>
                <c:pt idx="11">
                  <c:v>40</c:v>
                </c:pt>
                <c:pt idx="12">
                  <c:v>22</c:v>
                </c:pt>
                <c:pt idx="13">
                  <c:v>18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AE-4875-B39D-A9DE8F2C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3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48115987059253E-2"/>
          <c:y val="2.0599259204748935E-2"/>
          <c:w val="0.8514489115651821"/>
          <c:h val="0.87796059669756465"/>
        </c:manualLayout>
      </c:layout>
      <c:lineChart>
        <c:grouping val="standard"/>
        <c:varyColors val="0"/>
        <c:ser>
          <c:idx val="0"/>
          <c:order val="0"/>
          <c:tx>
            <c:strRef>
              <c:f>'Sprint 3'!$E$72:$F$72</c:f>
              <c:strCache>
                <c:ptCount val="2"/>
                <c:pt idx="0">
                  <c:v>Thực tế</c:v>
                </c:pt>
              </c:strCache>
            </c:strRef>
          </c:tx>
          <c:cat>
            <c:numRef>
              <c:f>'Sprint 3'!$I$15:$W$15</c:f>
              <c:numCache>
                <c:formatCode>m/d/yyyy</c:formatCode>
                <c:ptCount val="15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</c:numCache>
            </c:numRef>
          </c:cat>
          <c:val>
            <c:numRef>
              <c:f>'Sprint 3'!$I$72:$W$72</c:f>
              <c:numCache>
                <c:formatCode>General</c:formatCode>
                <c:ptCount val="15"/>
                <c:pt idx="0">
                  <c:v>132</c:v>
                </c:pt>
                <c:pt idx="1">
                  <c:v>128</c:v>
                </c:pt>
                <c:pt idx="2">
                  <c:v>114</c:v>
                </c:pt>
                <c:pt idx="3">
                  <c:v>106</c:v>
                </c:pt>
                <c:pt idx="4">
                  <c:v>94</c:v>
                </c:pt>
                <c:pt idx="5">
                  <c:v>84</c:v>
                </c:pt>
                <c:pt idx="6">
                  <c:v>70</c:v>
                </c:pt>
                <c:pt idx="7">
                  <c:v>54</c:v>
                </c:pt>
                <c:pt idx="8">
                  <c:v>54</c:v>
                </c:pt>
                <c:pt idx="9">
                  <c:v>40</c:v>
                </c:pt>
                <c:pt idx="10">
                  <c:v>28</c:v>
                </c:pt>
                <c:pt idx="11">
                  <c:v>19</c:v>
                </c:pt>
                <c:pt idx="12">
                  <c:v>10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A2-4DA4-8DAB-A0C8C80293EA}"/>
            </c:ext>
          </c:extLst>
        </c:ser>
        <c:ser>
          <c:idx val="1"/>
          <c:order val="1"/>
          <c:tx>
            <c:strRef>
              <c:f>'Sprint 3'!$E$73:$F$73</c:f>
              <c:strCache>
                <c:ptCount val="2"/>
                <c:pt idx="0">
                  <c:v>Ước tính</c:v>
                </c:pt>
              </c:strCache>
            </c:strRef>
          </c:tx>
          <c:cat>
            <c:numRef>
              <c:f>'Sprint 3'!$I$15:$W$15</c:f>
              <c:numCache>
                <c:formatCode>m/d/yyyy</c:formatCode>
                <c:ptCount val="15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</c:numCache>
            </c:numRef>
          </c:cat>
          <c:val>
            <c:numRef>
              <c:f>'Sprint 3'!$I$73:$W$73</c:f>
              <c:numCache>
                <c:formatCode>General</c:formatCode>
                <c:ptCount val="15"/>
                <c:pt idx="0">
                  <c:v>132</c:v>
                </c:pt>
                <c:pt idx="1">
                  <c:v>128</c:v>
                </c:pt>
                <c:pt idx="2">
                  <c:v>116</c:v>
                </c:pt>
                <c:pt idx="3">
                  <c:v>106</c:v>
                </c:pt>
                <c:pt idx="4">
                  <c:v>95</c:v>
                </c:pt>
                <c:pt idx="5">
                  <c:v>84</c:v>
                </c:pt>
                <c:pt idx="6">
                  <c:v>70</c:v>
                </c:pt>
                <c:pt idx="7">
                  <c:v>53</c:v>
                </c:pt>
                <c:pt idx="8">
                  <c:v>50</c:v>
                </c:pt>
                <c:pt idx="9">
                  <c:v>40</c:v>
                </c:pt>
                <c:pt idx="10">
                  <c:v>28</c:v>
                </c:pt>
                <c:pt idx="11">
                  <c:v>16</c:v>
                </c:pt>
                <c:pt idx="12">
                  <c:v>10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A2-4DA4-8DAB-A0C8C8029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3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911802</xdr:colOff>
      <xdr:row>86</xdr:row>
      <xdr:rowOff>99579</xdr:rowOff>
    </xdr:from>
    <xdr:to>
      <xdr:col>22</xdr:col>
      <xdr:colOff>15586</xdr:colOff>
      <xdr:row>125</xdr:row>
      <xdr:rowOff>193963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63B15-55F1-4E8A-88D5-8CDA75121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752474</xdr:colOff>
      <xdr:row>74</xdr:row>
      <xdr:rowOff>19049</xdr:rowOff>
    </xdr:from>
    <xdr:to>
      <xdr:col>21</xdr:col>
      <xdr:colOff>114300</xdr:colOff>
      <xdr:row>111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4477C-1777-4497-8F22-222AFA79B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74</xdr:row>
      <xdr:rowOff>180108</xdr:rowOff>
    </xdr:from>
    <xdr:to>
      <xdr:col>20</xdr:col>
      <xdr:colOff>159685</xdr:colOff>
      <xdr:row>118</xdr:row>
      <xdr:rowOff>166253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19E3B-8F2E-4EBE-B913-A99FFD0FA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3"/>
  <sheetViews>
    <sheetView topLeftCell="A103" zoomScale="70" zoomScaleNormal="70" workbookViewId="0">
      <selection activeCell="AE15" sqref="AE15"/>
    </sheetView>
  </sheetViews>
  <sheetFormatPr defaultColWidth="8.88671875" defaultRowHeight="13.8" x14ac:dyDescent="0.3"/>
  <cols>
    <col min="1" max="1" width="8.88671875" style="15"/>
    <col min="2" max="2" width="23" style="15" bestFit="1" customWidth="1"/>
    <col min="3" max="3" width="85.33203125" style="15" customWidth="1"/>
    <col min="4" max="4" width="9" style="15" bestFit="1" customWidth="1"/>
    <col min="5" max="5" width="10.44140625" style="15" bestFit="1" customWidth="1"/>
    <col min="6" max="6" width="18.6640625" style="15" bestFit="1" customWidth="1"/>
    <col min="7" max="8" width="4.5546875" style="15" bestFit="1" customWidth="1"/>
    <col min="9" max="15" width="4.6640625" style="15" bestFit="1" customWidth="1"/>
    <col min="16" max="16" width="5.33203125" style="15" bestFit="1" customWidth="1"/>
    <col min="17" max="28" width="4" style="15" bestFit="1" customWidth="1"/>
    <col min="29" max="29" width="4.5546875" style="15" customWidth="1"/>
    <col min="30" max="30" width="9" style="15" customWidth="1"/>
    <col min="31" max="16384" width="8.88671875" style="15"/>
  </cols>
  <sheetData>
    <row r="1" spans="1:29" ht="28.2" thickBot="1" x14ac:dyDescent="0.3">
      <c r="A1" s="13" t="s">
        <v>0</v>
      </c>
      <c r="B1" s="13"/>
      <c r="C1" s="14" t="s">
        <v>85</v>
      </c>
      <c r="E1" s="16"/>
      <c r="F1" s="17" t="s">
        <v>82</v>
      </c>
    </row>
    <row r="2" spans="1:29" ht="14.4" thickBot="1" x14ac:dyDescent="0.3">
      <c r="A2" s="13" t="s">
        <v>1</v>
      </c>
      <c r="B2" s="13"/>
      <c r="C2" s="18" t="s">
        <v>2</v>
      </c>
      <c r="E2" s="43"/>
      <c r="F2" s="19" t="s">
        <v>83</v>
      </c>
    </row>
    <row r="3" spans="1:29" ht="14.4" thickBot="1" x14ac:dyDescent="0.3">
      <c r="A3" s="13" t="s">
        <v>4</v>
      </c>
      <c r="B3" s="13"/>
      <c r="C3" s="20">
        <v>46101</v>
      </c>
      <c r="E3" s="21"/>
      <c r="F3" s="19" t="s">
        <v>3</v>
      </c>
    </row>
    <row r="4" spans="1:29" ht="14.4" thickBot="1" x14ac:dyDescent="0.3">
      <c r="A4" s="13" t="s">
        <v>6</v>
      </c>
      <c r="B4" s="13"/>
      <c r="C4" s="20">
        <v>46121</v>
      </c>
      <c r="E4" s="22"/>
      <c r="F4" s="19" t="s">
        <v>84</v>
      </c>
    </row>
    <row r="5" spans="1:29" ht="14.4" thickBot="1" x14ac:dyDescent="0.3">
      <c r="E5" s="23"/>
      <c r="F5" s="24" t="s">
        <v>5</v>
      </c>
    </row>
    <row r="6" spans="1:29" ht="14.4" thickBot="1" x14ac:dyDescent="0.35">
      <c r="B6" s="25" t="s">
        <v>7</v>
      </c>
      <c r="C6" s="25"/>
      <c r="D6" s="25"/>
      <c r="E6" s="25"/>
    </row>
    <row r="7" spans="1:29" ht="14.4" thickBot="1" x14ac:dyDescent="0.35">
      <c r="B7" s="26" t="s">
        <v>8</v>
      </c>
      <c r="C7" s="26" t="s">
        <v>9</v>
      </c>
      <c r="D7" s="26" t="s">
        <v>10</v>
      </c>
      <c r="E7" s="26" t="s">
        <v>11</v>
      </c>
    </row>
    <row r="8" spans="1:29" ht="14.4" thickBot="1" x14ac:dyDescent="0.35">
      <c r="B8" s="27">
        <v>1</v>
      </c>
      <c r="C8" s="28" t="s">
        <v>13</v>
      </c>
      <c r="D8" s="28">
        <f ca="1">SUMIF($E$16:$F$81,"Khoa",$G$16:$G$81)+SUMIF($E$16:$F$81,"All Team",$G$16:$G$81)/5</f>
        <v>33</v>
      </c>
      <c r="E8" s="28">
        <f ca="1">SUMIF($E$16:$F$81,"Khoa",$H$16:$H$81)+SUMIF($E$16:$F$81,"All Team",$H$16:$H$81)/5</f>
        <v>34</v>
      </c>
    </row>
    <row r="9" spans="1:29" ht="14.4" thickBot="1" x14ac:dyDescent="0.35">
      <c r="B9" s="27">
        <v>2</v>
      </c>
      <c r="C9" s="28" t="s">
        <v>14</v>
      </c>
      <c r="D9" s="28">
        <f ca="1">SUMIF($E$16:$F$81,"Khánh",$G$16:$G$81)+SUMIF($E$16:$F$81,"All Team",$G$16:$G$81)/5+SUMIF($E$16:$F$81,"Khánh,Rin",$G$16:$G$81)/2</f>
        <v>33</v>
      </c>
      <c r="E9" s="28">
        <f ca="1">SUMIF($E$16:$F$81,"Khánh",$H$16:$H$81)+SUMIF($E$16:$F$81,"All Team",$H$16:$H$81)/5+SUMIF($E$16:$F$81,"Khánh,Rin",$H$16:$H$81)/2</f>
        <v>33</v>
      </c>
    </row>
    <row r="10" spans="1:29" ht="14.4" thickBot="1" x14ac:dyDescent="0.35">
      <c r="B10" s="27">
        <v>3</v>
      </c>
      <c r="C10" s="28" t="s">
        <v>15</v>
      </c>
      <c r="D10" s="28">
        <f ca="1">SUMIF($E$16:$F$81,"Duyên",$G$16:$G$81)+SUMIF($E$16:$F$81,"All Team",$G$16:$G$81)/5</f>
        <v>31</v>
      </c>
      <c r="E10" s="28">
        <f ca="1">SUMIF($E$16:$F$81,"Duyên",$H$16:$H$81)+SUMIF($E$16:$F$81,"All Team",$H$16:$H$81)/5</f>
        <v>32</v>
      </c>
    </row>
    <row r="11" spans="1:29" ht="14.4" thickBot="1" x14ac:dyDescent="0.35">
      <c r="B11" s="27">
        <v>4</v>
      </c>
      <c r="C11" s="28" t="s">
        <v>16</v>
      </c>
      <c r="D11" s="28">
        <f ca="1">SUMIF($E$16:$F$81,"Duy",$G$16:$G$81)+SUMIF($E$16:$F$81,"All Team",$G$16:$G$81)/5</f>
        <v>31</v>
      </c>
      <c r="E11" s="28">
        <f ca="1">SUMIF($E$16:$F$81,"Duy",$H$16:$H$81)+SUMIF($E$16:$F$81,"All Team",$H$16:$H$81)/5</f>
        <v>31</v>
      </c>
    </row>
    <row r="12" spans="1:29" ht="14.4" thickBot="1" x14ac:dyDescent="0.35">
      <c r="B12" s="27">
        <v>5</v>
      </c>
      <c r="C12" s="28" t="s">
        <v>199</v>
      </c>
      <c r="D12" s="28">
        <f ca="1">SUMIF($E$16:$F$81,"Rin",$G$16:$G$81)+SUMIF($E$16:$F$81,"All Team",$G$16:$G$81)/5+SUMIF($E$16:$F$81,"Khánh,Rin",$G$16:$G$81)/2</f>
        <v>33</v>
      </c>
      <c r="E12" s="28">
        <f ca="1">SUMIF($E$16:$F$81,"Rin",$H$16:$H$81)+SUMIF($E$16:$F$81,"All Team",$H$16:$H$81)/5+SUMIF($E$16:$F$81,"Khánh,Rin",$H$16:$H$81)/2</f>
        <v>33</v>
      </c>
    </row>
    <row r="13" spans="1:29" ht="14.4" thickBot="1" x14ac:dyDescent="0.35">
      <c r="B13" s="25" t="s">
        <v>12</v>
      </c>
      <c r="C13" s="25"/>
      <c r="D13" s="25">
        <f ca="1">SUM(D8:D12)</f>
        <v>161</v>
      </c>
      <c r="E13" s="25">
        <f ca="1">SUM(E8:E12)</f>
        <v>163</v>
      </c>
    </row>
    <row r="15" spans="1:29" ht="66" customHeight="1" x14ac:dyDescent="0.3">
      <c r="A15" s="36" t="s">
        <v>17</v>
      </c>
      <c r="B15" s="36" t="s">
        <v>18</v>
      </c>
      <c r="C15" s="81" t="s">
        <v>19</v>
      </c>
      <c r="D15" s="81"/>
      <c r="E15" s="36" t="s">
        <v>20</v>
      </c>
      <c r="F15" s="36"/>
      <c r="G15" s="37" t="s">
        <v>10</v>
      </c>
      <c r="H15" s="37" t="s">
        <v>11</v>
      </c>
      <c r="I15" s="44">
        <v>46101</v>
      </c>
      <c r="J15" s="44">
        <v>46102</v>
      </c>
      <c r="K15" s="44">
        <v>46103</v>
      </c>
      <c r="L15" s="44">
        <v>46104</v>
      </c>
      <c r="M15" s="44">
        <v>46105</v>
      </c>
      <c r="N15" s="44">
        <v>46106</v>
      </c>
      <c r="O15" s="44">
        <v>46107</v>
      </c>
      <c r="P15" s="44">
        <v>46108</v>
      </c>
      <c r="Q15" s="44">
        <v>46109</v>
      </c>
      <c r="R15" s="44">
        <v>46110</v>
      </c>
      <c r="S15" s="44">
        <v>46111</v>
      </c>
      <c r="T15" s="44">
        <v>46112</v>
      </c>
      <c r="U15" s="44">
        <v>46113</v>
      </c>
      <c r="V15" s="44">
        <v>46114</v>
      </c>
      <c r="W15" s="44">
        <v>46115</v>
      </c>
      <c r="X15" s="44">
        <v>46116</v>
      </c>
      <c r="Y15" s="44">
        <v>46117</v>
      </c>
      <c r="Z15" s="44">
        <v>46118</v>
      </c>
      <c r="AA15" s="44">
        <v>46119</v>
      </c>
      <c r="AB15" s="44">
        <v>46120</v>
      </c>
      <c r="AC15" s="44">
        <v>46121</v>
      </c>
    </row>
    <row r="16" spans="1:29" x14ac:dyDescent="0.3">
      <c r="A16" s="83" t="s">
        <v>2</v>
      </c>
      <c r="B16" s="84" t="s">
        <v>21</v>
      </c>
      <c r="C16" s="84"/>
      <c r="D16" s="84"/>
      <c r="E16" s="82" t="s">
        <v>75</v>
      </c>
      <c r="F16" s="82"/>
      <c r="G16" s="45">
        <v>10</v>
      </c>
      <c r="H16" s="45">
        <v>10</v>
      </c>
      <c r="I16" s="40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</row>
    <row r="17" spans="1:29" x14ac:dyDescent="0.3">
      <c r="A17" s="83"/>
      <c r="B17" s="84" t="s">
        <v>22</v>
      </c>
      <c r="C17" s="84"/>
      <c r="D17" s="84"/>
      <c r="E17" s="82" t="s">
        <v>76</v>
      </c>
      <c r="F17" s="82"/>
      <c r="G17" s="45">
        <v>4</v>
      </c>
      <c r="H17" s="45">
        <v>4</v>
      </c>
      <c r="I17" s="45">
        <v>4</v>
      </c>
      <c r="J17" s="40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</row>
    <row r="18" spans="1:29" x14ac:dyDescent="0.3">
      <c r="A18" s="83"/>
      <c r="B18" s="84" t="s">
        <v>23</v>
      </c>
      <c r="C18" s="84"/>
      <c r="D18" s="84"/>
      <c r="E18" s="82" t="s">
        <v>77</v>
      </c>
      <c r="F18" s="82"/>
      <c r="G18" s="45">
        <v>4</v>
      </c>
      <c r="H18" s="45">
        <v>4</v>
      </c>
      <c r="I18" s="45">
        <v>4</v>
      </c>
      <c r="J18" s="40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</row>
    <row r="19" spans="1:29" ht="14.4" customHeight="1" x14ac:dyDescent="0.3">
      <c r="A19" s="83"/>
      <c r="B19" s="86" t="s">
        <v>31</v>
      </c>
      <c r="C19" s="84" t="s">
        <v>24</v>
      </c>
      <c r="D19" s="84"/>
      <c r="E19" s="82" t="s">
        <v>78</v>
      </c>
      <c r="F19" s="82"/>
      <c r="G19" s="45">
        <v>1</v>
      </c>
      <c r="H19" s="45">
        <v>1</v>
      </c>
      <c r="I19" s="45">
        <v>1</v>
      </c>
      <c r="J19" s="45">
        <v>1</v>
      </c>
      <c r="K19" s="40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</row>
    <row r="20" spans="1:29" x14ac:dyDescent="0.3">
      <c r="A20" s="83"/>
      <c r="B20" s="86"/>
      <c r="C20" s="84" t="s">
        <v>25</v>
      </c>
      <c r="D20" s="84"/>
      <c r="E20" s="82" t="s">
        <v>79</v>
      </c>
      <c r="F20" s="82"/>
      <c r="G20" s="45">
        <v>1</v>
      </c>
      <c r="H20" s="45">
        <v>1</v>
      </c>
      <c r="I20" s="45">
        <v>1</v>
      </c>
      <c r="J20" s="45">
        <v>1</v>
      </c>
      <c r="K20" s="40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</row>
    <row r="21" spans="1:29" x14ac:dyDescent="0.3">
      <c r="A21" s="83"/>
      <c r="B21" s="86"/>
      <c r="C21" s="84" t="s">
        <v>160</v>
      </c>
      <c r="D21" s="84"/>
      <c r="E21" s="82" t="s">
        <v>80</v>
      </c>
      <c r="F21" s="82"/>
      <c r="G21" s="45">
        <v>1</v>
      </c>
      <c r="H21" s="45">
        <v>1</v>
      </c>
      <c r="I21" s="45">
        <v>1</v>
      </c>
      <c r="J21" s="45">
        <v>1</v>
      </c>
      <c r="K21" s="40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</row>
    <row r="22" spans="1:29" x14ac:dyDescent="0.3">
      <c r="A22" s="83"/>
      <c r="B22" s="86"/>
      <c r="C22" s="84" t="s">
        <v>26</v>
      </c>
      <c r="D22" s="84"/>
      <c r="E22" s="82" t="s">
        <v>76</v>
      </c>
      <c r="F22" s="82"/>
      <c r="G22" s="45">
        <v>1</v>
      </c>
      <c r="H22" s="45">
        <v>2</v>
      </c>
      <c r="I22" s="45">
        <v>2</v>
      </c>
      <c r="J22" s="45">
        <v>2</v>
      </c>
      <c r="K22" s="40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</row>
    <row r="23" spans="1:29" x14ac:dyDescent="0.25">
      <c r="A23" s="83"/>
      <c r="B23" s="86"/>
      <c r="C23" s="82"/>
      <c r="D23" s="82"/>
      <c r="E23" s="82"/>
      <c r="F23" s="82"/>
      <c r="G23" s="45"/>
      <c r="H23" s="45"/>
      <c r="I23" s="45"/>
      <c r="J23" s="45"/>
      <c r="K23" s="41">
        <v>1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 spans="1:29" x14ac:dyDescent="0.3">
      <c r="A24" s="83"/>
      <c r="B24" s="86"/>
      <c r="C24" s="84" t="s">
        <v>27</v>
      </c>
      <c r="D24" s="84"/>
      <c r="E24" s="82" t="s">
        <v>77</v>
      </c>
      <c r="F24" s="82"/>
      <c r="G24" s="45">
        <v>2</v>
      </c>
      <c r="H24" s="45">
        <v>2</v>
      </c>
      <c r="I24" s="45">
        <v>2</v>
      </c>
      <c r="J24" s="45">
        <v>2</v>
      </c>
      <c r="K24" s="45">
        <v>1</v>
      </c>
      <c r="L24" s="40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</row>
    <row r="25" spans="1:29" x14ac:dyDescent="0.3">
      <c r="A25" s="83"/>
      <c r="B25" s="86"/>
      <c r="C25" s="84" t="s">
        <v>28</v>
      </c>
      <c r="D25" s="84"/>
      <c r="E25" s="82" t="s">
        <v>78</v>
      </c>
      <c r="F25" s="82"/>
      <c r="G25" s="45">
        <v>2</v>
      </c>
      <c r="H25" s="45">
        <v>2</v>
      </c>
      <c r="I25" s="45">
        <v>2</v>
      </c>
      <c r="J25" s="45">
        <v>2</v>
      </c>
      <c r="K25" s="45">
        <v>1</v>
      </c>
      <c r="L25" s="40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</row>
    <row r="26" spans="1:29" x14ac:dyDescent="0.3">
      <c r="A26" s="83"/>
      <c r="B26" s="86"/>
      <c r="C26" s="84" t="s">
        <v>29</v>
      </c>
      <c r="D26" s="84"/>
      <c r="E26" s="82" t="s">
        <v>79</v>
      </c>
      <c r="F26" s="82"/>
      <c r="G26" s="45">
        <v>2</v>
      </c>
      <c r="H26" s="45">
        <v>2</v>
      </c>
      <c r="I26" s="45">
        <v>2</v>
      </c>
      <c r="J26" s="45">
        <v>2</v>
      </c>
      <c r="K26" s="45">
        <v>1</v>
      </c>
      <c r="L26" s="40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</row>
    <row r="27" spans="1:29" x14ac:dyDescent="0.3">
      <c r="A27" s="83"/>
      <c r="B27" s="86"/>
      <c r="C27" s="84" t="s">
        <v>30</v>
      </c>
      <c r="D27" s="84"/>
      <c r="E27" s="82" t="s">
        <v>80</v>
      </c>
      <c r="F27" s="82"/>
      <c r="G27" s="45">
        <v>2</v>
      </c>
      <c r="H27" s="45">
        <v>2</v>
      </c>
      <c r="I27" s="45">
        <v>2</v>
      </c>
      <c r="J27" s="45">
        <v>2</v>
      </c>
      <c r="K27" s="45">
        <v>1</v>
      </c>
      <c r="L27" s="40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</row>
    <row r="28" spans="1:29" x14ac:dyDescent="0.3">
      <c r="A28" s="83"/>
      <c r="B28" s="86"/>
      <c r="C28" s="84" t="s">
        <v>32</v>
      </c>
      <c r="D28" s="84"/>
      <c r="E28" s="82" t="s">
        <v>75</v>
      </c>
      <c r="F28" s="82"/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0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</row>
    <row r="29" spans="1:29" ht="14.4" customHeight="1" x14ac:dyDescent="0.3">
      <c r="A29" s="83"/>
      <c r="B29" s="86" t="s">
        <v>41</v>
      </c>
      <c r="C29" s="84" t="s">
        <v>35</v>
      </c>
      <c r="D29" s="84"/>
      <c r="E29" s="82" t="s">
        <v>77</v>
      </c>
      <c r="F29" s="82"/>
      <c r="G29" s="45">
        <v>2</v>
      </c>
      <c r="H29" s="45">
        <v>2</v>
      </c>
      <c r="I29" s="45">
        <v>2</v>
      </c>
      <c r="J29" s="45">
        <v>2</v>
      </c>
      <c r="K29" s="45">
        <v>2</v>
      </c>
      <c r="L29" s="45">
        <v>2</v>
      </c>
      <c r="M29" s="45">
        <v>2</v>
      </c>
      <c r="N29" s="40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</row>
    <row r="30" spans="1:29" x14ac:dyDescent="0.3">
      <c r="A30" s="83"/>
      <c r="B30" s="86"/>
      <c r="C30" s="84" t="s">
        <v>33</v>
      </c>
      <c r="D30" s="84"/>
      <c r="E30" s="82" t="s">
        <v>78</v>
      </c>
      <c r="F30" s="82"/>
      <c r="G30" s="45">
        <v>2</v>
      </c>
      <c r="H30" s="45">
        <v>2</v>
      </c>
      <c r="I30" s="45">
        <v>2</v>
      </c>
      <c r="J30" s="45">
        <v>2</v>
      </c>
      <c r="K30" s="45">
        <v>2</v>
      </c>
      <c r="L30" s="45">
        <v>2</v>
      </c>
      <c r="M30" s="45">
        <v>2</v>
      </c>
      <c r="N30" s="40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</row>
    <row r="31" spans="1:29" x14ac:dyDescent="0.3">
      <c r="A31" s="83"/>
      <c r="B31" s="86"/>
      <c r="C31" s="84" t="s">
        <v>34</v>
      </c>
      <c r="D31" s="84"/>
      <c r="E31" s="82" t="s">
        <v>76</v>
      </c>
      <c r="F31" s="82"/>
      <c r="G31" s="45">
        <v>2</v>
      </c>
      <c r="H31" s="45">
        <v>2</v>
      </c>
      <c r="I31" s="45">
        <v>2</v>
      </c>
      <c r="J31" s="45">
        <v>2</v>
      </c>
      <c r="K31" s="45">
        <v>2</v>
      </c>
      <c r="L31" s="45">
        <v>2</v>
      </c>
      <c r="M31" s="45">
        <v>2</v>
      </c>
      <c r="N31" s="45">
        <v>1</v>
      </c>
      <c r="O31" s="40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</row>
    <row r="32" spans="1:29" x14ac:dyDescent="0.3">
      <c r="A32" s="83"/>
      <c r="B32" s="86"/>
      <c r="C32" s="84" t="s">
        <v>36</v>
      </c>
      <c r="D32" s="84"/>
      <c r="E32" s="82" t="s">
        <v>79</v>
      </c>
      <c r="F32" s="82"/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1</v>
      </c>
      <c r="O32" s="40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</row>
    <row r="33" spans="1:29" x14ac:dyDescent="0.3">
      <c r="A33" s="83"/>
      <c r="B33" s="86"/>
      <c r="C33" s="84" t="s">
        <v>37</v>
      </c>
      <c r="D33" s="84"/>
      <c r="E33" s="82" t="s">
        <v>80</v>
      </c>
      <c r="F33" s="82"/>
      <c r="G33" s="45">
        <v>2</v>
      </c>
      <c r="H33" s="45">
        <v>2</v>
      </c>
      <c r="I33" s="45">
        <v>2</v>
      </c>
      <c r="J33" s="45">
        <v>2</v>
      </c>
      <c r="K33" s="45">
        <v>2</v>
      </c>
      <c r="L33" s="45">
        <v>2</v>
      </c>
      <c r="M33" s="45">
        <v>2</v>
      </c>
      <c r="N33" s="45">
        <v>1</v>
      </c>
      <c r="O33" s="40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</row>
    <row r="34" spans="1:29" x14ac:dyDescent="0.3">
      <c r="A34" s="83"/>
      <c r="B34" s="86"/>
      <c r="C34" s="84" t="s">
        <v>38</v>
      </c>
      <c r="D34" s="84"/>
      <c r="E34" s="82" t="s">
        <v>77</v>
      </c>
      <c r="F34" s="82"/>
      <c r="G34" s="45">
        <v>2</v>
      </c>
      <c r="H34" s="45">
        <v>2</v>
      </c>
      <c r="I34" s="45">
        <v>2</v>
      </c>
      <c r="J34" s="45">
        <v>2</v>
      </c>
      <c r="K34" s="45">
        <v>2</v>
      </c>
      <c r="L34" s="45">
        <v>2</v>
      </c>
      <c r="M34" s="45">
        <v>2</v>
      </c>
      <c r="N34" s="45">
        <v>1</v>
      </c>
      <c r="O34" s="40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</row>
    <row r="35" spans="1:29" x14ac:dyDescent="0.3">
      <c r="A35" s="83"/>
      <c r="B35" s="86"/>
      <c r="C35" s="84" t="s">
        <v>39</v>
      </c>
      <c r="D35" s="84"/>
      <c r="E35" s="82" t="s">
        <v>78</v>
      </c>
      <c r="F35" s="82"/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1</v>
      </c>
      <c r="O35" s="40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</row>
    <row r="36" spans="1:29" x14ac:dyDescent="0.3">
      <c r="A36" s="83"/>
      <c r="B36" s="86"/>
      <c r="C36" s="84" t="s">
        <v>40</v>
      </c>
      <c r="D36" s="84"/>
      <c r="E36" s="82" t="s">
        <v>76</v>
      </c>
      <c r="F36" s="82"/>
      <c r="G36" s="45">
        <v>2</v>
      </c>
      <c r="H36" s="45">
        <v>2</v>
      </c>
      <c r="I36" s="45">
        <v>2</v>
      </c>
      <c r="J36" s="45">
        <v>2</v>
      </c>
      <c r="K36" s="45">
        <v>2</v>
      </c>
      <c r="L36" s="45">
        <v>2</v>
      </c>
      <c r="M36" s="45">
        <v>2</v>
      </c>
      <c r="N36" s="45">
        <v>1</v>
      </c>
      <c r="O36" s="40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</row>
    <row r="37" spans="1:29" x14ac:dyDescent="0.3">
      <c r="A37" s="83"/>
      <c r="B37" s="86"/>
      <c r="C37" s="84" t="s">
        <v>42</v>
      </c>
      <c r="D37" s="84"/>
      <c r="E37" s="82" t="s">
        <v>75</v>
      </c>
      <c r="F37" s="82"/>
      <c r="G37" s="45">
        <v>10</v>
      </c>
      <c r="H37" s="45">
        <v>10</v>
      </c>
      <c r="I37" s="45">
        <v>10</v>
      </c>
      <c r="J37" s="45">
        <v>10</v>
      </c>
      <c r="K37" s="45">
        <v>10</v>
      </c>
      <c r="L37" s="45">
        <v>10</v>
      </c>
      <c r="M37" s="45">
        <v>10</v>
      </c>
      <c r="N37" s="45">
        <v>10</v>
      </c>
      <c r="O37" s="45">
        <v>10</v>
      </c>
      <c r="P37" s="40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</row>
    <row r="38" spans="1:29" x14ac:dyDescent="0.3">
      <c r="A38" s="83"/>
      <c r="B38" s="82" t="s">
        <v>44</v>
      </c>
      <c r="C38" s="84" t="s">
        <v>175</v>
      </c>
      <c r="D38" s="84"/>
      <c r="E38" s="82" t="s">
        <v>77</v>
      </c>
      <c r="F38" s="82"/>
      <c r="G38" s="45">
        <v>2</v>
      </c>
      <c r="H38" s="45">
        <v>2</v>
      </c>
      <c r="I38" s="45">
        <v>2</v>
      </c>
      <c r="J38" s="45">
        <v>2</v>
      </c>
      <c r="K38" s="45">
        <v>2</v>
      </c>
      <c r="L38" s="45">
        <v>2</v>
      </c>
      <c r="M38" s="45">
        <v>2</v>
      </c>
      <c r="N38" s="45">
        <v>2</v>
      </c>
      <c r="O38" s="45">
        <v>2</v>
      </c>
      <c r="P38" s="45">
        <v>2</v>
      </c>
      <c r="Q38" s="40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</row>
    <row r="39" spans="1:29" x14ac:dyDescent="0.3">
      <c r="A39" s="83"/>
      <c r="B39" s="82"/>
      <c r="C39" s="84" t="s">
        <v>161</v>
      </c>
      <c r="D39" s="84"/>
      <c r="E39" s="82" t="s">
        <v>77</v>
      </c>
      <c r="F39" s="82"/>
      <c r="G39" s="45">
        <v>2</v>
      </c>
      <c r="H39" s="45">
        <v>2</v>
      </c>
      <c r="I39" s="45">
        <v>2</v>
      </c>
      <c r="J39" s="45">
        <v>2</v>
      </c>
      <c r="K39" s="45">
        <v>2</v>
      </c>
      <c r="L39" s="45">
        <v>2</v>
      </c>
      <c r="M39" s="45">
        <v>2</v>
      </c>
      <c r="N39" s="45">
        <v>2</v>
      </c>
      <c r="O39" s="45">
        <v>2</v>
      </c>
      <c r="P39" s="45">
        <v>2</v>
      </c>
      <c r="Q39" s="40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</row>
    <row r="40" spans="1:29" s="48" customFormat="1" x14ac:dyDescent="0.3">
      <c r="A40" s="83"/>
      <c r="B40" s="82"/>
      <c r="C40" s="89" t="s">
        <v>206</v>
      </c>
      <c r="D40" s="90"/>
      <c r="E40" s="87" t="s">
        <v>76</v>
      </c>
      <c r="F40" s="88"/>
      <c r="G40" s="46">
        <v>1</v>
      </c>
      <c r="H40" s="46">
        <v>1</v>
      </c>
      <c r="I40" s="46">
        <v>1</v>
      </c>
      <c r="J40" s="46">
        <v>1</v>
      </c>
      <c r="K40" s="46">
        <v>1</v>
      </c>
      <c r="L40" s="46">
        <v>1</v>
      </c>
      <c r="M40" s="46">
        <v>1</v>
      </c>
      <c r="N40" s="46">
        <v>1</v>
      </c>
      <c r="O40" s="46">
        <v>1</v>
      </c>
      <c r="P40" s="46">
        <v>1</v>
      </c>
      <c r="Q40" s="47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</row>
    <row r="41" spans="1:29" x14ac:dyDescent="0.3">
      <c r="A41" s="83"/>
      <c r="B41" s="82"/>
      <c r="C41" s="84" t="s">
        <v>176</v>
      </c>
      <c r="D41" s="84"/>
      <c r="E41" s="82" t="s">
        <v>76</v>
      </c>
      <c r="F41" s="82"/>
      <c r="G41" s="45">
        <v>2</v>
      </c>
      <c r="H41" s="45">
        <v>2</v>
      </c>
      <c r="I41" s="45">
        <v>2</v>
      </c>
      <c r="J41" s="45">
        <v>2</v>
      </c>
      <c r="K41" s="45">
        <v>2</v>
      </c>
      <c r="L41" s="45">
        <v>2</v>
      </c>
      <c r="M41" s="45">
        <v>2</v>
      </c>
      <c r="N41" s="45">
        <v>2</v>
      </c>
      <c r="O41" s="45">
        <v>2</v>
      </c>
      <c r="P41" s="45">
        <v>2</v>
      </c>
      <c r="Q41" s="40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</row>
    <row r="42" spans="1:29" x14ac:dyDescent="0.3">
      <c r="A42" s="83"/>
      <c r="B42" s="82"/>
      <c r="C42" s="84" t="s">
        <v>162</v>
      </c>
      <c r="D42" s="84"/>
      <c r="E42" s="82" t="s">
        <v>76</v>
      </c>
      <c r="F42" s="82"/>
      <c r="G42" s="45">
        <v>2</v>
      </c>
      <c r="H42" s="45">
        <v>2</v>
      </c>
      <c r="I42" s="45">
        <v>2</v>
      </c>
      <c r="J42" s="45">
        <v>2</v>
      </c>
      <c r="K42" s="45">
        <v>2</v>
      </c>
      <c r="L42" s="45">
        <v>2</v>
      </c>
      <c r="M42" s="45">
        <v>2</v>
      </c>
      <c r="N42" s="45">
        <v>2</v>
      </c>
      <c r="O42" s="45">
        <v>2</v>
      </c>
      <c r="P42" s="45">
        <v>2</v>
      </c>
      <c r="Q42" s="40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</row>
    <row r="43" spans="1:29" x14ac:dyDescent="0.3">
      <c r="A43" s="83"/>
      <c r="B43" s="82"/>
      <c r="C43" s="84" t="s">
        <v>177</v>
      </c>
      <c r="D43" s="84"/>
      <c r="E43" s="82" t="s">
        <v>79</v>
      </c>
      <c r="F43" s="82"/>
      <c r="G43" s="45">
        <v>2</v>
      </c>
      <c r="H43" s="45">
        <v>2</v>
      </c>
      <c r="I43" s="45">
        <v>2</v>
      </c>
      <c r="J43" s="45">
        <v>2</v>
      </c>
      <c r="K43" s="45">
        <v>2</v>
      </c>
      <c r="L43" s="45">
        <v>2</v>
      </c>
      <c r="M43" s="45">
        <v>2</v>
      </c>
      <c r="N43" s="45">
        <v>2</v>
      </c>
      <c r="O43" s="45">
        <v>2</v>
      </c>
      <c r="P43" s="45">
        <v>2</v>
      </c>
      <c r="Q43" s="40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</row>
    <row r="44" spans="1:29" x14ac:dyDescent="0.3">
      <c r="A44" s="83"/>
      <c r="B44" s="82"/>
      <c r="C44" s="84" t="s">
        <v>163</v>
      </c>
      <c r="D44" s="84"/>
      <c r="E44" s="82" t="s">
        <v>79</v>
      </c>
      <c r="F44" s="82"/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2</v>
      </c>
      <c r="R44" s="40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</row>
    <row r="45" spans="1:29" x14ac:dyDescent="0.3">
      <c r="A45" s="83"/>
      <c r="B45" s="82"/>
      <c r="C45" s="84" t="s">
        <v>178</v>
      </c>
      <c r="D45" s="84"/>
      <c r="E45" s="82" t="s">
        <v>80</v>
      </c>
      <c r="F45" s="82"/>
      <c r="G45" s="45">
        <v>2</v>
      </c>
      <c r="H45" s="45">
        <v>2</v>
      </c>
      <c r="I45" s="45">
        <v>2</v>
      </c>
      <c r="J45" s="45">
        <v>2</v>
      </c>
      <c r="K45" s="45">
        <v>2</v>
      </c>
      <c r="L45" s="45">
        <v>2</v>
      </c>
      <c r="M45" s="45">
        <v>2</v>
      </c>
      <c r="N45" s="45">
        <v>2</v>
      </c>
      <c r="O45" s="45">
        <v>2</v>
      </c>
      <c r="P45" s="45">
        <v>2</v>
      </c>
      <c r="Q45" s="40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</row>
    <row r="46" spans="1:29" x14ac:dyDescent="0.3">
      <c r="A46" s="83"/>
      <c r="B46" s="82"/>
      <c r="C46" s="84" t="s">
        <v>164</v>
      </c>
      <c r="D46" s="84"/>
      <c r="E46" s="82" t="s">
        <v>80</v>
      </c>
      <c r="F46" s="82"/>
      <c r="G46" s="45">
        <v>4</v>
      </c>
      <c r="H46" s="45">
        <v>4</v>
      </c>
      <c r="I46" s="45">
        <v>4</v>
      </c>
      <c r="J46" s="45">
        <v>4</v>
      </c>
      <c r="K46" s="45">
        <v>4</v>
      </c>
      <c r="L46" s="45">
        <v>4</v>
      </c>
      <c r="M46" s="45">
        <v>4</v>
      </c>
      <c r="N46" s="45">
        <v>4</v>
      </c>
      <c r="O46" s="45">
        <v>4</v>
      </c>
      <c r="P46" s="45">
        <v>4</v>
      </c>
      <c r="Q46" s="45">
        <v>2</v>
      </c>
      <c r="R46" s="40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</row>
    <row r="47" spans="1:29" x14ac:dyDescent="0.3">
      <c r="A47" s="83"/>
      <c r="B47" s="82"/>
      <c r="C47" s="84" t="s">
        <v>179</v>
      </c>
      <c r="D47" s="84"/>
      <c r="E47" s="82" t="s">
        <v>78</v>
      </c>
      <c r="F47" s="82"/>
      <c r="G47" s="45">
        <v>2</v>
      </c>
      <c r="H47" s="45">
        <v>2</v>
      </c>
      <c r="I47" s="45">
        <v>2</v>
      </c>
      <c r="J47" s="45">
        <v>2</v>
      </c>
      <c r="K47" s="45">
        <v>2</v>
      </c>
      <c r="L47" s="45">
        <v>2</v>
      </c>
      <c r="M47" s="45">
        <v>2</v>
      </c>
      <c r="N47" s="45">
        <v>2</v>
      </c>
      <c r="O47" s="45">
        <v>2</v>
      </c>
      <c r="P47" s="45">
        <v>2</v>
      </c>
      <c r="Q47" s="40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</row>
    <row r="48" spans="1:29" x14ac:dyDescent="0.3">
      <c r="A48" s="83"/>
      <c r="B48" s="82"/>
      <c r="C48" s="84" t="s">
        <v>165</v>
      </c>
      <c r="D48" s="84"/>
      <c r="E48" s="82" t="s">
        <v>78</v>
      </c>
      <c r="F48" s="82"/>
      <c r="G48" s="45">
        <v>4</v>
      </c>
      <c r="H48" s="45">
        <v>4</v>
      </c>
      <c r="I48" s="45">
        <v>4</v>
      </c>
      <c r="J48" s="45">
        <v>4</v>
      </c>
      <c r="K48" s="45">
        <v>4</v>
      </c>
      <c r="L48" s="45">
        <v>4</v>
      </c>
      <c r="M48" s="45">
        <v>4</v>
      </c>
      <c r="N48" s="45">
        <v>4</v>
      </c>
      <c r="O48" s="45">
        <v>4</v>
      </c>
      <c r="P48" s="45">
        <v>4</v>
      </c>
      <c r="Q48" s="45">
        <v>2</v>
      </c>
      <c r="R48" s="40">
        <v>0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</row>
    <row r="49" spans="1:29" x14ac:dyDescent="0.3">
      <c r="A49" s="83"/>
      <c r="B49" s="82"/>
      <c r="C49" s="84" t="s">
        <v>180</v>
      </c>
      <c r="D49" s="84"/>
      <c r="E49" s="82" t="s">
        <v>157</v>
      </c>
      <c r="F49" s="82"/>
      <c r="G49" s="45">
        <v>3</v>
      </c>
      <c r="H49" s="45">
        <v>2</v>
      </c>
      <c r="I49" s="45">
        <v>2</v>
      </c>
      <c r="J49" s="45">
        <v>2</v>
      </c>
      <c r="K49" s="45">
        <v>2</v>
      </c>
      <c r="L49" s="45">
        <v>2</v>
      </c>
      <c r="M49" s="45">
        <v>2</v>
      </c>
      <c r="N49" s="45">
        <v>2</v>
      </c>
      <c r="O49" s="45">
        <v>2</v>
      </c>
      <c r="P49" s="45">
        <v>2</v>
      </c>
      <c r="Q49" s="40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0</v>
      </c>
      <c r="AC49" s="45">
        <v>0</v>
      </c>
    </row>
    <row r="50" spans="1:29" x14ac:dyDescent="0.25">
      <c r="A50" s="83"/>
      <c r="B50" s="82"/>
      <c r="C50" s="82"/>
      <c r="D50" s="82"/>
      <c r="E50" s="82"/>
      <c r="F50" s="82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2">
        <v>1</v>
      </c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pans="1:29" x14ac:dyDescent="0.3">
      <c r="A51" s="83"/>
      <c r="B51" s="82"/>
      <c r="C51" s="84" t="s">
        <v>166</v>
      </c>
      <c r="D51" s="84"/>
      <c r="E51" s="82" t="s">
        <v>80</v>
      </c>
      <c r="F51" s="82"/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0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</row>
    <row r="52" spans="1:29" x14ac:dyDescent="0.3">
      <c r="A52" s="83"/>
      <c r="B52" s="82"/>
      <c r="C52" s="84" t="s">
        <v>181</v>
      </c>
      <c r="D52" s="84"/>
      <c r="E52" s="82" t="s">
        <v>78</v>
      </c>
      <c r="F52" s="82"/>
      <c r="G52" s="45">
        <v>2</v>
      </c>
      <c r="H52" s="45">
        <v>2</v>
      </c>
      <c r="I52" s="45">
        <v>2</v>
      </c>
      <c r="J52" s="45">
        <v>2</v>
      </c>
      <c r="K52" s="45">
        <v>2</v>
      </c>
      <c r="L52" s="45">
        <v>2</v>
      </c>
      <c r="M52" s="45">
        <v>2</v>
      </c>
      <c r="N52" s="45">
        <v>2</v>
      </c>
      <c r="O52" s="45">
        <v>2</v>
      </c>
      <c r="P52" s="45">
        <v>2</v>
      </c>
      <c r="Q52" s="45">
        <v>2</v>
      </c>
      <c r="R52" s="40">
        <v>0</v>
      </c>
      <c r="S52" s="4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45">
        <v>0</v>
      </c>
      <c r="Z52" s="45">
        <v>0</v>
      </c>
      <c r="AA52" s="45">
        <v>0</v>
      </c>
      <c r="AB52" s="45">
        <v>0</v>
      </c>
      <c r="AC52" s="45">
        <v>0</v>
      </c>
    </row>
    <row r="53" spans="1:29" x14ac:dyDescent="0.3">
      <c r="A53" s="83"/>
      <c r="B53" s="82"/>
      <c r="C53" s="84" t="s">
        <v>167</v>
      </c>
      <c r="D53" s="84"/>
      <c r="E53" s="82" t="s">
        <v>79</v>
      </c>
      <c r="F53" s="82"/>
      <c r="G53" s="45">
        <v>4</v>
      </c>
      <c r="H53" s="45">
        <v>4</v>
      </c>
      <c r="I53" s="45">
        <v>4</v>
      </c>
      <c r="J53" s="45">
        <v>4</v>
      </c>
      <c r="K53" s="45">
        <v>4</v>
      </c>
      <c r="L53" s="45">
        <v>4</v>
      </c>
      <c r="M53" s="45">
        <v>4</v>
      </c>
      <c r="N53" s="45">
        <v>4</v>
      </c>
      <c r="O53" s="45">
        <v>4</v>
      </c>
      <c r="P53" s="45">
        <v>4</v>
      </c>
      <c r="Q53" s="45">
        <v>4</v>
      </c>
      <c r="R53" s="45">
        <v>2</v>
      </c>
      <c r="S53" s="40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</row>
    <row r="54" spans="1:29" x14ac:dyDescent="0.3">
      <c r="A54" s="83"/>
      <c r="B54" s="82"/>
      <c r="C54" s="84" t="s">
        <v>43</v>
      </c>
      <c r="D54" s="84"/>
      <c r="E54" s="82" t="s">
        <v>75</v>
      </c>
      <c r="F54" s="82"/>
      <c r="G54" s="45">
        <v>10</v>
      </c>
      <c r="H54" s="45">
        <v>10</v>
      </c>
      <c r="I54" s="45">
        <v>10</v>
      </c>
      <c r="J54" s="45">
        <v>10</v>
      </c>
      <c r="K54" s="45">
        <v>10</v>
      </c>
      <c r="L54" s="45">
        <v>10</v>
      </c>
      <c r="M54" s="45">
        <v>10</v>
      </c>
      <c r="N54" s="45">
        <v>10</v>
      </c>
      <c r="O54" s="45">
        <v>10</v>
      </c>
      <c r="P54" s="45">
        <v>10</v>
      </c>
      <c r="Q54" s="45">
        <v>10</v>
      </c>
      <c r="R54" s="45">
        <v>10</v>
      </c>
      <c r="S54" s="45">
        <v>10</v>
      </c>
      <c r="T54" s="40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</row>
    <row r="55" spans="1:29" x14ac:dyDescent="0.3">
      <c r="A55" s="83"/>
      <c r="B55" s="82" t="s">
        <v>53</v>
      </c>
      <c r="C55" s="84" t="s">
        <v>45</v>
      </c>
      <c r="D55" s="84"/>
      <c r="E55" s="82" t="s">
        <v>79</v>
      </c>
      <c r="F55" s="82"/>
      <c r="G55" s="45">
        <v>1</v>
      </c>
      <c r="H55" s="45">
        <v>1</v>
      </c>
      <c r="I55" s="45">
        <v>1</v>
      </c>
      <c r="J55" s="45">
        <v>1</v>
      </c>
      <c r="K55" s="45">
        <v>1</v>
      </c>
      <c r="L55" s="45">
        <v>1</v>
      </c>
      <c r="M55" s="45">
        <v>1</v>
      </c>
      <c r="N55" s="45">
        <v>1</v>
      </c>
      <c r="O55" s="45">
        <v>1</v>
      </c>
      <c r="P55" s="45">
        <v>1</v>
      </c>
      <c r="Q55" s="45">
        <v>1</v>
      </c>
      <c r="R55" s="45">
        <v>1</v>
      </c>
      <c r="S55" s="45">
        <v>1</v>
      </c>
      <c r="T55" s="45">
        <v>1</v>
      </c>
      <c r="U55" s="40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</row>
    <row r="56" spans="1:29" x14ac:dyDescent="0.3">
      <c r="A56" s="83"/>
      <c r="B56" s="82"/>
      <c r="C56" s="84" t="s">
        <v>46</v>
      </c>
      <c r="D56" s="84"/>
      <c r="E56" s="82" t="s">
        <v>80</v>
      </c>
      <c r="F56" s="82"/>
      <c r="G56" s="45">
        <v>1</v>
      </c>
      <c r="H56" s="45">
        <v>1</v>
      </c>
      <c r="I56" s="45">
        <v>1</v>
      </c>
      <c r="J56" s="45">
        <v>1</v>
      </c>
      <c r="K56" s="45">
        <v>1</v>
      </c>
      <c r="L56" s="45">
        <v>1</v>
      </c>
      <c r="M56" s="45">
        <v>1</v>
      </c>
      <c r="N56" s="45">
        <v>1</v>
      </c>
      <c r="O56" s="45">
        <v>1</v>
      </c>
      <c r="P56" s="45">
        <v>1</v>
      </c>
      <c r="Q56" s="45">
        <v>1</v>
      </c>
      <c r="R56" s="45">
        <v>1</v>
      </c>
      <c r="S56" s="45">
        <v>1</v>
      </c>
      <c r="T56" s="45">
        <v>1</v>
      </c>
      <c r="U56" s="40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</row>
    <row r="57" spans="1:29" x14ac:dyDescent="0.3">
      <c r="A57" s="83"/>
      <c r="B57" s="82"/>
      <c r="C57" s="84" t="s">
        <v>47</v>
      </c>
      <c r="D57" s="84"/>
      <c r="E57" s="82" t="s">
        <v>77</v>
      </c>
      <c r="F57" s="82"/>
      <c r="G57" s="45">
        <v>1</v>
      </c>
      <c r="H57" s="45">
        <v>1</v>
      </c>
      <c r="I57" s="45">
        <v>1</v>
      </c>
      <c r="J57" s="45">
        <v>1</v>
      </c>
      <c r="K57" s="45">
        <v>1</v>
      </c>
      <c r="L57" s="45">
        <v>1</v>
      </c>
      <c r="M57" s="45">
        <v>1</v>
      </c>
      <c r="N57" s="45">
        <v>1</v>
      </c>
      <c r="O57" s="45">
        <v>1</v>
      </c>
      <c r="P57" s="45">
        <v>1</v>
      </c>
      <c r="Q57" s="45">
        <v>1</v>
      </c>
      <c r="R57" s="45">
        <v>1</v>
      </c>
      <c r="S57" s="45">
        <v>1</v>
      </c>
      <c r="T57" s="45">
        <v>1</v>
      </c>
      <c r="U57" s="40">
        <v>0</v>
      </c>
      <c r="V57" s="45">
        <v>0</v>
      </c>
      <c r="W57" s="45">
        <v>0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</row>
    <row r="58" spans="1:29" x14ac:dyDescent="0.3">
      <c r="A58" s="83"/>
      <c r="B58" s="82"/>
      <c r="C58" s="84" t="s">
        <v>48</v>
      </c>
      <c r="D58" s="84"/>
      <c r="E58" s="82" t="s">
        <v>78</v>
      </c>
      <c r="F58" s="82"/>
      <c r="G58" s="45">
        <v>1</v>
      </c>
      <c r="H58" s="45">
        <v>2</v>
      </c>
      <c r="I58" s="45">
        <v>2</v>
      </c>
      <c r="J58" s="45">
        <v>2</v>
      </c>
      <c r="K58" s="45">
        <v>2</v>
      </c>
      <c r="L58" s="45">
        <v>2</v>
      </c>
      <c r="M58" s="45">
        <v>2</v>
      </c>
      <c r="N58" s="45">
        <v>2</v>
      </c>
      <c r="O58" s="45">
        <v>2</v>
      </c>
      <c r="P58" s="45">
        <v>2</v>
      </c>
      <c r="Q58" s="45">
        <v>2</v>
      </c>
      <c r="R58" s="45">
        <v>2</v>
      </c>
      <c r="S58" s="45">
        <v>2</v>
      </c>
      <c r="T58" s="45">
        <v>2</v>
      </c>
      <c r="U58" s="40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</row>
    <row r="59" spans="1:29" x14ac:dyDescent="0.25">
      <c r="A59" s="83"/>
      <c r="B59" s="82"/>
      <c r="C59" s="82"/>
      <c r="D59" s="82"/>
      <c r="E59" s="82"/>
      <c r="F59" s="82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1">
        <v>1</v>
      </c>
      <c r="V59" s="45"/>
      <c r="W59" s="45"/>
      <c r="X59" s="45"/>
      <c r="Y59" s="45"/>
      <c r="Z59" s="45"/>
      <c r="AA59" s="45"/>
      <c r="AB59" s="45"/>
      <c r="AC59" s="45"/>
    </row>
    <row r="60" spans="1:29" x14ac:dyDescent="0.3">
      <c r="A60" s="83"/>
      <c r="B60" s="82"/>
      <c r="C60" s="84" t="s">
        <v>49</v>
      </c>
      <c r="D60" s="84"/>
      <c r="E60" s="82" t="s">
        <v>76</v>
      </c>
      <c r="F60" s="82"/>
      <c r="G60" s="45">
        <v>2</v>
      </c>
      <c r="H60" s="45">
        <v>2</v>
      </c>
      <c r="I60" s="45">
        <v>2</v>
      </c>
      <c r="J60" s="45">
        <v>2</v>
      </c>
      <c r="K60" s="45">
        <v>2</v>
      </c>
      <c r="L60" s="45">
        <v>2</v>
      </c>
      <c r="M60" s="45">
        <v>2</v>
      </c>
      <c r="N60" s="45">
        <v>2</v>
      </c>
      <c r="O60" s="45">
        <v>2</v>
      </c>
      <c r="P60" s="45">
        <v>2</v>
      </c>
      <c r="Q60" s="45">
        <v>2</v>
      </c>
      <c r="R60" s="45">
        <v>2</v>
      </c>
      <c r="S60" s="45">
        <v>2</v>
      </c>
      <c r="T60" s="45">
        <v>2</v>
      </c>
      <c r="U60" s="40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</row>
    <row r="61" spans="1:29" x14ac:dyDescent="0.3">
      <c r="A61" s="83"/>
      <c r="B61" s="82"/>
      <c r="C61" s="84" t="s">
        <v>50</v>
      </c>
      <c r="D61" s="84"/>
      <c r="E61" s="82" t="s">
        <v>79</v>
      </c>
      <c r="F61" s="82"/>
      <c r="G61" s="45">
        <v>2</v>
      </c>
      <c r="H61" s="45">
        <v>2</v>
      </c>
      <c r="I61" s="45">
        <v>2</v>
      </c>
      <c r="J61" s="45">
        <v>2</v>
      </c>
      <c r="K61" s="45">
        <v>2</v>
      </c>
      <c r="L61" s="45">
        <v>2</v>
      </c>
      <c r="M61" s="45">
        <v>2</v>
      </c>
      <c r="N61" s="45">
        <v>2</v>
      </c>
      <c r="O61" s="45">
        <v>2</v>
      </c>
      <c r="P61" s="45">
        <v>2</v>
      </c>
      <c r="Q61" s="45">
        <v>2</v>
      </c>
      <c r="R61" s="45">
        <v>2</v>
      </c>
      <c r="S61" s="45">
        <v>2</v>
      </c>
      <c r="T61" s="45">
        <v>2</v>
      </c>
      <c r="U61" s="40">
        <v>0</v>
      </c>
      <c r="V61" s="45">
        <v>0</v>
      </c>
      <c r="W61" s="45">
        <v>0</v>
      </c>
      <c r="X61" s="45">
        <v>0</v>
      </c>
      <c r="Y61" s="45">
        <v>0</v>
      </c>
      <c r="Z61" s="45">
        <v>0</v>
      </c>
      <c r="AA61" s="45">
        <v>0</v>
      </c>
      <c r="AB61" s="45">
        <v>0</v>
      </c>
      <c r="AC61" s="45">
        <v>0</v>
      </c>
    </row>
    <row r="62" spans="1:29" x14ac:dyDescent="0.3">
      <c r="A62" s="83"/>
      <c r="B62" s="82"/>
      <c r="C62" s="84" t="s">
        <v>51</v>
      </c>
      <c r="D62" s="84"/>
      <c r="E62" s="82" t="s">
        <v>80</v>
      </c>
      <c r="F62" s="82"/>
      <c r="G62" s="45">
        <v>2</v>
      </c>
      <c r="H62" s="45">
        <v>2</v>
      </c>
      <c r="I62" s="45">
        <v>2</v>
      </c>
      <c r="J62" s="45">
        <v>2</v>
      </c>
      <c r="K62" s="45">
        <v>2</v>
      </c>
      <c r="L62" s="45">
        <v>2</v>
      </c>
      <c r="M62" s="45">
        <v>2</v>
      </c>
      <c r="N62" s="45">
        <v>2</v>
      </c>
      <c r="O62" s="45">
        <v>2</v>
      </c>
      <c r="P62" s="45">
        <v>2</v>
      </c>
      <c r="Q62" s="45">
        <v>2</v>
      </c>
      <c r="R62" s="45">
        <v>2</v>
      </c>
      <c r="S62" s="45">
        <v>2</v>
      </c>
      <c r="T62" s="45">
        <v>2</v>
      </c>
      <c r="U62" s="40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</row>
    <row r="63" spans="1:29" x14ac:dyDescent="0.3">
      <c r="A63" s="83"/>
      <c r="B63" s="82"/>
      <c r="C63" s="84" t="s">
        <v>52</v>
      </c>
      <c r="D63" s="84"/>
      <c r="E63" s="82" t="s">
        <v>77</v>
      </c>
      <c r="F63" s="82"/>
      <c r="G63" s="45">
        <v>2</v>
      </c>
      <c r="H63" s="45">
        <v>2</v>
      </c>
      <c r="I63" s="45">
        <v>2</v>
      </c>
      <c r="J63" s="45">
        <v>2</v>
      </c>
      <c r="K63" s="45">
        <v>2</v>
      </c>
      <c r="L63" s="45">
        <v>2</v>
      </c>
      <c r="M63" s="45">
        <v>2</v>
      </c>
      <c r="N63" s="45">
        <v>2</v>
      </c>
      <c r="O63" s="45">
        <v>2</v>
      </c>
      <c r="P63" s="45">
        <v>2</v>
      </c>
      <c r="Q63" s="45">
        <v>2</v>
      </c>
      <c r="R63" s="45">
        <v>2</v>
      </c>
      <c r="S63" s="45">
        <v>2</v>
      </c>
      <c r="T63" s="45">
        <v>2</v>
      </c>
      <c r="U63" s="40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</row>
    <row r="64" spans="1:29" x14ac:dyDescent="0.3">
      <c r="A64" s="83"/>
      <c r="B64" s="82" t="s">
        <v>62</v>
      </c>
      <c r="C64" s="84" t="s">
        <v>54</v>
      </c>
      <c r="D64" s="84"/>
      <c r="E64" s="82" t="s">
        <v>77</v>
      </c>
      <c r="F64" s="82"/>
      <c r="G64" s="45">
        <v>2</v>
      </c>
      <c r="H64" s="45">
        <v>2</v>
      </c>
      <c r="I64" s="45">
        <v>2</v>
      </c>
      <c r="J64" s="45">
        <v>2</v>
      </c>
      <c r="K64" s="45">
        <v>2</v>
      </c>
      <c r="L64" s="45">
        <v>2</v>
      </c>
      <c r="M64" s="45">
        <v>2</v>
      </c>
      <c r="N64" s="45">
        <v>2</v>
      </c>
      <c r="O64" s="45">
        <v>2</v>
      </c>
      <c r="P64" s="45">
        <v>2</v>
      </c>
      <c r="Q64" s="45">
        <v>2</v>
      </c>
      <c r="R64" s="45">
        <v>2</v>
      </c>
      <c r="S64" s="45">
        <v>2</v>
      </c>
      <c r="T64" s="45">
        <v>2</v>
      </c>
      <c r="U64" s="45">
        <v>2</v>
      </c>
      <c r="V64" s="40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</row>
    <row r="65" spans="1:29" x14ac:dyDescent="0.3">
      <c r="A65" s="83"/>
      <c r="B65" s="82"/>
      <c r="C65" s="84" t="s">
        <v>55</v>
      </c>
      <c r="D65" s="84"/>
      <c r="E65" s="82" t="s">
        <v>78</v>
      </c>
      <c r="F65" s="82"/>
      <c r="G65" s="45">
        <v>2</v>
      </c>
      <c r="H65" s="45">
        <v>2</v>
      </c>
      <c r="I65" s="45">
        <v>2</v>
      </c>
      <c r="J65" s="45">
        <v>2</v>
      </c>
      <c r="K65" s="45">
        <v>2</v>
      </c>
      <c r="L65" s="45">
        <v>2</v>
      </c>
      <c r="M65" s="45">
        <v>2</v>
      </c>
      <c r="N65" s="45">
        <v>2</v>
      </c>
      <c r="O65" s="45">
        <v>2</v>
      </c>
      <c r="P65" s="45">
        <v>2</v>
      </c>
      <c r="Q65" s="45">
        <v>2</v>
      </c>
      <c r="R65" s="45">
        <v>2</v>
      </c>
      <c r="S65" s="45">
        <v>2</v>
      </c>
      <c r="T65" s="45">
        <v>2</v>
      </c>
      <c r="U65" s="45">
        <v>2</v>
      </c>
      <c r="V65" s="40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</row>
    <row r="66" spans="1:29" x14ac:dyDescent="0.3">
      <c r="A66" s="83"/>
      <c r="B66" s="82"/>
      <c r="C66" s="84" t="s">
        <v>56</v>
      </c>
      <c r="D66" s="84"/>
      <c r="E66" s="82" t="s">
        <v>76</v>
      </c>
      <c r="F66" s="82"/>
      <c r="G66" s="45">
        <v>2</v>
      </c>
      <c r="H66" s="45">
        <v>2</v>
      </c>
      <c r="I66" s="45">
        <v>2</v>
      </c>
      <c r="J66" s="45">
        <v>2</v>
      </c>
      <c r="K66" s="45">
        <v>2</v>
      </c>
      <c r="L66" s="45">
        <v>2</v>
      </c>
      <c r="M66" s="45">
        <v>2</v>
      </c>
      <c r="N66" s="45">
        <v>2</v>
      </c>
      <c r="O66" s="45">
        <v>2</v>
      </c>
      <c r="P66" s="45">
        <v>2</v>
      </c>
      <c r="Q66" s="45">
        <v>2</v>
      </c>
      <c r="R66" s="45">
        <v>2</v>
      </c>
      <c r="S66" s="45">
        <v>2</v>
      </c>
      <c r="T66" s="45">
        <v>2</v>
      </c>
      <c r="U66" s="45">
        <v>2</v>
      </c>
      <c r="V66" s="40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</row>
    <row r="67" spans="1:29" x14ac:dyDescent="0.3">
      <c r="A67" s="83"/>
      <c r="B67" s="82"/>
      <c r="C67" s="84" t="s">
        <v>57</v>
      </c>
      <c r="D67" s="84"/>
      <c r="E67" s="82" t="s">
        <v>79</v>
      </c>
      <c r="F67" s="82"/>
      <c r="G67" s="45">
        <v>2</v>
      </c>
      <c r="H67" s="45">
        <v>2</v>
      </c>
      <c r="I67" s="45">
        <v>2</v>
      </c>
      <c r="J67" s="45">
        <v>2</v>
      </c>
      <c r="K67" s="45">
        <v>2</v>
      </c>
      <c r="L67" s="45">
        <v>2</v>
      </c>
      <c r="M67" s="45">
        <v>2</v>
      </c>
      <c r="N67" s="45">
        <v>2</v>
      </c>
      <c r="O67" s="45">
        <v>2</v>
      </c>
      <c r="P67" s="45">
        <v>2</v>
      </c>
      <c r="Q67" s="45">
        <v>2</v>
      </c>
      <c r="R67" s="45">
        <v>2</v>
      </c>
      <c r="S67" s="45">
        <v>2</v>
      </c>
      <c r="T67" s="45">
        <v>2</v>
      </c>
      <c r="U67" s="45">
        <v>2</v>
      </c>
      <c r="V67" s="45">
        <v>1</v>
      </c>
      <c r="W67" s="40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</row>
    <row r="68" spans="1:29" x14ac:dyDescent="0.3">
      <c r="A68" s="83"/>
      <c r="B68" s="82"/>
      <c r="C68" s="84" t="s">
        <v>58</v>
      </c>
      <c r="D68" s="84"/>
      <c r="E68" s="82" t="s">
        <v>80</v>
      </c>
      <c r="F68" s="82"/>
      <c r="G68" s="45">
        <v>2</v>
      </c>
      <c r="H68" s="45">
        <v>2</v>
      </c>
      <c r="I68" s="45">
        <v>2</v>
      </c>
      <c r="J68" s="45">
        <v>2</v>
      </c>
      <c r="K68" s="45">
        <v>2</v>
      </c>
      <c r="L68" s="45">
        <v>2</v>
      </c>
      <c r="M68" s="45">
        <v>2</v>
      </c>
      <c r="N68" s="45">
        <v>2</v>
      </c>
      <c r="O68" s="45">
        <v>2</v>
      </c>
      <c r="P68" s="45">
        <v>2</v>
      </c>
      <c r="Q68" s="45">
        <v>2</v>
      </c>
      <c r="R68" s="45">
        <v>2</v>
      </c>
      <c r="S68" s="45">
        <v>2</v>
      </c>
      <c r="T68" s="45">
        <v>2</v>
      </c>
      <c r="U68" s="45">
        <v>2</v>
      </c>
      <c r="V68" s="45">
        <v>1</v>
      </c>
      <c r="W68" s="40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</row>
    <row r="69" spans="1:29" x14ac:dyDescent="0.3">
      <c r="A69" s="83"/>
      <c r="B69" s="82"/>
      <c r="C69" s="84" t="s">
        <v>59</v>
      </c>
      <c r="D69" s="84"/>
      <c r="E69" s="82" t="s">
        <v>78</v>
      </c>
      <c r="F69" s="82"/>
      <c r="G69" s="45">
        <v>2</v>
      </c>
      <c r="H69" s="45">
        <v>2</v>
      </c>
      <c r="I69" s="45">
        <v>2</v>
      </c>
      <c r="J69" s="45">
        <v>2</v>
      </c>
      <c r="K69" s="45">
        <v>2</v>
      </c>
      <c r="L69" s="45">
        <v>2</v>
      </c>
      <c r="M69" s="45">
        <v>2</v>
      </c>
      <c r="N69" s="45">
        <v>2</v>
      </c>
      <c r="O69" s="45">
        <v>2</v>
      </c>
      <c r="P69" s="45">
        <v>2</v>
      </c>
      <c r="Q69" s="45">
        <v>2</v>
      </c>
      <c r="R69" s="45">
        <v>2</v>
      </c>
      <c r="S69" s="45">
        <v>2</v>
      </c>
      <c r="T69" s="45">
        <v>2</v>
      </c>
      <c r="U69" s="45">
        <v>2</v>
      </c>
      <c r="V69" s="45">
        <v>1</v>
      </c>
      <c r="W69" s="40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</row>
    <row r="70" spans="1:29" x14ac:dyDescent="0.3">
      <c r="A70" s="83"/>
      <c r="B70" s="82"/>
      <c r="C70" s="84" t="s">
        <v>60</v>
      </c>
      <c r="D70" s="84"/>
      <c r="E70" s="82" t="s">
        <v>76</v>
      </c>
      <c r="F70" s="82"/>
      <c r="G70" s="45">
        <v>2</v>
      </c>
      <c r="H70" s="45">
        <v>2</v>
      </c>
      <c r="I70" s="45">
        <v>2</v>
      </c>
      <c r="J70" s="45">
        <v>2</v>
      </c>
      <c r="K70" s="45">
        <v>2</v>
      </c>
      <c r="L70" s="45">
        <v>2</v>
      </c>
      <c r="M70" s="45">
        <v>2</v>
      </c>
      <c r="N70" s="45">
        <v>2</v>
      </c>
      <c r="O70" s="45">
        <v>2</v>
      </c>
      <c r="P70" s="45">
        <v>2</v>
      </c>
      <c r="Q70" s="45">
        <v>2</v>
      </c>
      <c r="R70" s="45">
        <v>2</v>
      </c>
      <c r="S70" s="45">
        <v>2</v>
      </c>
      <c r="T70" s="45">
        <v>2</v>
      </c>
      <c r="U70" s="45">
        <v>2</v>
      </c>
      <c r="V70" s="45">
        <v>1</v>
      </c>
      <c r="W70" s="40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</row>
    <row r="71" spans="1:29" x14ac:dyDescent="0.3">
      <c r="A71" s="83"/>
      <c r="B71" s="82"/>
      <c r="C71" s="84" t="s">
        <v>61</v>
      </c>
      <c r="D71" s="84"/>
      <c r="E71" s="82" t="s">
        <v>80</v>
      </c>
      <c r="F71" s="82"/>
      <c r="G71" s="45">
        <v>2</v>
      </c>
      <c r="H71" s="45">
        <v>2</v>
      </c>
      <c r="I71" s="45">
        <v>2</v>
      </c>
      <c r="J71" s="45">
        <v>2</v>
      </c>
      <c r="K71" s="45">
        <v>2</v>
      </c>
      <c r="L71" s="45">
        <v>2</v>
      </c>
      <c r="M71" s="45">
        <v>2</v>
      </c>
      <c r="N71" s="45">
        <v>2</v>
      </c>
      <c r="O71" s="45">
        <v>2</v>
      </c>
      <c r="P71" s="45">
        <v>2</v>
      </c>
      <c r="Q71" s="45">
        <v>2</v>
      </c>
      <c r="R71" s="45">
        <v>2</v>
      </c>
      <c r="S71" s="45">
        <v>2</v>
      </c>
      <c r="T71" s="45">
        <v>2</v>
      </c>
      <c r="U71" s="45">
        <v>2</v>
      </c>
      <c r="V71" s="45">
        <v>1</v>
      </c>
      <c r="W71" s="40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</row>
    <row r="72" spans="1:29" x14ac:dyDescent="0.3">
      <c r="A72" s="83"/>
      <c r="B72" s="82" t="s">
        <v>71</v>
      </c>
      <c r="C72" s="84" t="s">
        <v>63</v>
      </c>
      <c r="D72" s="84"/>
      <c r="E72" s="82" t="s">
        <v>78</v>
      </c>
      <c r="F72" s="82"/>
      <c r="G72" s="45">
        <v>1</v>
      </c>
      <c r="H72" s="45">
        <v>1</v>
      </c>
      <c r="I72" s="45">
        <v>1</v>
      </c>
      <c r="J72" s="45">
        <v>1</v>
      </c>
      <c r="K72" s="45">
        <v>1</v>
      </c>
      <c r="L72" s="45">
        <v>1</v>
      </c>
      <c r="M72" s="45">
        <v>1</v>
      </c>
      <c r="N72" s="45">
        <v>1</v>
      </c>
      <c r="O72" s="45">
        <v>1</v>
      </c>
      <c r="P72" s="45">
        <v>1</v>
      </c>
      <c r="Q72" s="45">
        <v>1</v>
      </c>
      <c r="R72" s="45">
        <v>1</v>
      </c>
      <c r="S72" s="45">
        <v>1</v>
      </c>
      <c r="T72" s="45">
        <v>1</v>
      </c>
      <c r="U72" s="45">
        <v>1</v>
      </c>
      <c r="V72" s="45">
        <v>1</v>
      </c>
      <c r="W72" s="45">
        <v>1</v>
      </c>
      <c r="X72" s="40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</row>
    <row r="73" spans="1:29" x14ac:dyDescent="0.3">
      <c r="A73" s="83"/>
      <c r="B73" s="82"/>
      <c r="C73" s="84" t="s">
        <v>64</v>
      </c>
      <c r="D73" s="84"/>
      <c r="E73" s="82" t="s">
        <v>76</v>
      </c>
      <c r="F73" s="82"/>
      <c r="G73" s="45">
        <v>1</v>
      </c>
      <c r="H73" s="45">
        <v>1</v>
      </c>
      <c r="I73" s="45">
        <v>1</v>
      </c>
      <c r="J73" s="45">
        <v>1</v>
      </c>
      <c r="K73" s="45">
        <v>1</v>
      </c>
      <c r="L73" s="45">
        <v>1</v>
      </c>
      <c r="M73" s="45">
        <v>1</v>
      </c>
      <c r="N73" s="45">
        <v>1</v>
      </c>
      <c r="O73" s="45">
        <v>1</v>
      </c>
      <c r="P73" s="45">
        <v>1</v>
      </c>
      <c r="Q73" s="45">
        <v>1</v>
      </c>
      <c r="R73" s="45">
        <v>1</v>
      </c>
      <c r="S73" s="45">
        <v>1</v>
      </c>
      <c r="T73" s="45">
        <v>1</v>
      </c>
      <c r="U73" s="45">
        <v>1</v>
      </c>
      <c r="V73" s="45">
        <v>1</v>
      </c>
      <c r="W73" s="45">
        <v>1</v>
      </c>
      <c r="X73" s="40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</row>
    <row r="74" spans="1:29" x14ac:dyDescent="0.3">
      <c r="A74" s="83"/>
      <c r="B74" s="82"/>
      <c r="C74" s="84" t="s">
        <v>65</v>
      </c>
      <c r="D74" s="84"/>
      <c r="E74" s="82" t="s">
        <v>79</v>
      </c>
      <c r="F74" s="82"/>
      <c r="G74" s="45">
        <v>1</v>
      </c>
      <c r="H74" s="45">
        <v>1</v>
      </c>
      <c r="I74" s="45">
        <v>1</v>
      </c>
      <c r="J74" s="45">
        <v>1</v>
      </c>
      <c r="K74" s="45">
        <v>1</v>
      </c>
      <c r="L74" s="45">
        <v>1</v>
      </c>
      <c r="M74" s="45">
        <v>1</v>
      </c>
      <c r="N74" s="45">
        <v>1</v>
      </c>
      <c r="O74" s="45">
        <v>1</v>
      </c>
      <c r="P74" s="45">
        <v>1</v>
      </c>
      <c r="Q74" s="45">
        <v>1</v>
      </c>
      <c r="R74" s="45">
        <v>1</v>
      </c>
      <c r="S74" s="45">
        <v>1</v>
      </c>
      <c r="T74" s="45">
        <v>1</v>
      </c>
      <c r="U74" s="45">
        <v>1</v>
      </c>
      <c r="V74" s="45">
        <v>1</v>
      </c>
      <c r="W74" s="45">
        <v>1</v>
      </c>
      <c r="X74" s="40">
        <v>0</v>
      </c>
      <c r="Y74" s="45">
        <v>0</v>
      </c>
      <c r="Z74" s="45">
        <v>0</v>
      </c>
      <c r="AA74" s="45">
        <v>0</v>
      </c>
      <c r="AB74" s="45">
        <v>0</v>
      </c>
      <c r="AC74" s="45">
        <v>0</v>
      </c>
    </row>
    <row r="75" spans="1:29" x14ac:dyDescent="0.3">
      <c r="A75" s="83"/>
      <c r="B75" s="82"/>
      <c r="C75" s="84" t="s">
        <v>66</v>
      </c>
      <c r="D75" s="84"/>
      <c r="E75" s="82" t="s">
        <v>80</v>
      </c>
      <c r="F75" s="82"/>
      <c r="G75" s="45">
        <v>2</v>
      </c>
      <c r="H75" s="45">
        <v>2</v>
      </c>
      <c r="I75" s="45">
        <v>2</v>
      </c>
      <c r="J75" s="45">
        <v>2</v>
      </c>
      <c r="K75" s="45">
        <v>2</v>
      </c>
      <c r="L75" s="45">
        <v>2</v>
      </c>
      <c r="M75" s="45">
        <v>2</v>
      </c>
      <c r="N75" s="45">
        <v>2</v>
      </c>
      <c r="O75" s="45">
        <v>2</v>
      </c>
      <c r="P75" s="45">
        <v>2</v>
      </c>
      <c r="Q75" s="45">
        <v>2</v>
      </c>
      <c r="R75" s="45">
        <v>2</v>
      </c>
      <c r="S75" s="45">
        <v>2</v>
      </c>
      <c r="T75" s="45">
        <v>2</v>
      </c>
      <c r="U75" s="45">
        <v>2</v>
      </c>
      <c r="V75" s="45">
        <v>2</v>
      </c>
      <c r="W75" s="45">
        <v>2</v>
      </c>
      <c r="X75" s="45">
        <v>1</v>
      </c>
      <c r="Y75" s="40">
        <v>0</v>
      </c>
      <c r="Z75" s="45">
        <v>0</v>
      </c>
      <c r="AA75" s="45">
        <v>0</v>
      </c>
      <c r="AB75" s="45">
        <v>0</v>
      </c>
      <c r="AC75" s="45">
        <v>0</v>
      </c>
    </row>
    <row r="76" spans="1:29" x14ac:dyDescent="0.3">
      <c r="A76" s="83"/>
      <c r="B76" s="82"/>
      <c r="C76" s="84" t="s">
        <v>67</v>
      </c>
      <c r="D76" s="84"/>
      <c r="E76" s="82" t="s">
        <v>81</v>
      </c>
      <c r="F76" s="82"/>
      <c r="G76" s="45">
        <v>2</v>
      </c>
      <c r="H76" s="45">
        <v>2</v>
      </c>
      <c r="I76" s="45">
        <v>2</v>
      </c>
      <c r="J76" s="45">
        <v>2</v>
      </c>
      <c r="K76" s="45">
        <v>2</v>
      </c>
      <c r="L76" s="45">
        <v>2</v>
      </c>
      <c r="M76" s="45">
        <v>2</v>
      </c>
      <c r="N76" s="45">
        <v>2</v>
      </c>
      <c r="O76" s="45">
        <v>2</v>
      </c>
      <c r="P76" s="45">
        <v>2</v>
      </c>
      <c r="Q76" s="45">
        <v>2</v>
      </c>
      <c r="R76" s="45">
        <v>2</v>
      </c>
      <c r="S76" s="45">
        <v>2</v>
      </c>
      <c r="T76" s="45">
        <v>2</v>
      </c>
      <c r="U76" s="45">
        <v>2</v>
      </c>
      <c r="V76" s="45">
        <v>2</v>
      </c>
      <c r="W76" s="45">
        <v>2</v>
      </c>
      <c r="X76" s="45">
        <v>1</v>
      </c>
      <c r="Y76" s="40">
        <v>0</v>
      </c>
      <c r="Z76" s="45">
        <v>0</v>
      </c>
      <c r="AA76" s="45">
        <v>0</v>
      </c>
      <c r="AB76" s="45">
        <v>0</v>
      </c>
      <c r="AC76" s="45">
        <v>0</v>
      </c>
    </row>
    <row r="77" spans="1:29" x14ac:dyDescent="0.3">
      <c r="A77" s="83"/>
      <c r="B77" s="82"/>
      <c r="C77" s="84" t="s">
        <v>68</v>
      </c>
      <c r="D77" s="84"/>
      <c r="E77" s="82" t="s">
        <v>76</v>
      </c>
      <c r="F77" s="82"/>
      <c r="G77" s="45">
        <v>2</v>
      </c>
      <c r="H77" s="45">
        <v>2</v>
      </c>
      <c r="I77" s="45">
        <v>2</v>
      </c>
      <c r="J77" s="45">
        <v>2</v>
      </c>
      <c r="K77" s="45">
        <v>2</v>
      </c>
      <c r="L77" s="45">
        <v>2</v>
      </c>
      <c r="M77" s="45">
        <v>2</v>
      </c>
      <c r="N77" s="45">
        <v>2</v>
      </c>
      <c r="O77" s="45">
        <v>2</v>
      </c>
      <c r="P77" s="45">
        <v>2</v>
      </c>
      <c r="Q77" s="45">
        <v>2</v>
      </c>
      <c r="R77" s="45">
        <v>2</v>
      </c>
      <c r="S77" s="45">
        <v>2</v>
      </c>
      <c r="T77" s="45">
        <v>2</v>
      </c>
      <c r="U77" s="45">
        <v>2</v>
      </c>
      <c r="V77" s="45">
        <v>2</v>
      </c>
      <c r="W77" s="45">
        <v>2</v>
      </c>
      <c r="X77" s="45">
        <v>1</v>
      </c>
      <c r="Y77" s="40">
        <v>0</v>
      </c>
      <c r="Z77" s="45">
        <v>0</v>
      </c>
      <c r="AA77" s="45">
        <v>0</v>
      </c>
      <c r="AB77" s="45">
        <v>0</v>
      </c>
      <c r="AC77" s="45">
        <v>0</v>
      </c>
    </row>
    <row r="78" spans="1:29" x14ac:dyDescent="0.3">
      <c r="A78" s="83"/>
      <c r="B78" s="82"/>
      <c r="C78" s="84" t="s">
        <v>69</v>
      </c>
      <c r="D78" s="84"/>
      <c r="E78" s="82" t="s">
        <v>77</v>
      </c>
      <c r="F78" s="82"/>
      <c r="G78" s="45">
        <v>2</v>
      </c>
      <c r="H78" s="45">
        <v>2</v>
      </c>
      <c r="I78" s="45">
        <v>2</v>
      </c>
      <c r="J78" s="45">
        <v>2</v>
      </c>
      <c r="K78" s="45">
        <v>2</v>
      </c>
      <c r="L78" s="45">
        <v>2</v>
      </c>
      <c r="M78" s="45">
        <v>2</v>
      </c>
      <c r="N78" s="45">
        <v>2</v>
      </c>
      <c r="O78" s="45">
        <v>2</v>
      </c>
      <c r="P78" s="45">
        <v>2</v>
      </c>
      <c r="Q78" s="45">
        <v>2</v>
      </c>
      <c r="R78" s="45">
        <v>2</v>
      </c>
      <c r="S78" s="45">
        <v>2</v>
      </c>
      <c r="T78" s="45">
        <v>2</v>
      </c>
      <c r="U78" s="45">
        <v>2</v>
      </c>
      <c r="V78" s="45">
        <v>2</v>
      </c>
      <c r="W78" s="45">
        <v>2</v>
      </c>
      <c r="X78" s="45">
        <v>1</v>
      </c>
      <c r="Y78" s="45">
        <v>1</v>
      </c>
      <c r="Z78" s="40">
        <v>0</v>
      </c>
      <c r="AA78" s="45">
        <v>0</v>
      </c>
      <c r="AB78" s="45">
        <v>0</v>
      </c>
      <c r="AC78" s="45">
        <v>0</v>
      </c>
    </row>
    <row r="79" spans="1:29" x14ac:dyDescent="0.3">
      <c r="A79" s="83"/>
      <c r="B79" s="82"/>
      <c r="C79" s="84" t="s">
        <v>70</v>
      </c>
      <c r="D79" s="84"/>
      <c r="E79" s="82" t="s">
        <v>79</v>
      </c>
      <c r="F79" s="82"/>
      <c r="G79" s="45">
        <v>2</v>
      </c>
      <c r="H79" s="45">
        <v>2</v>
      </c>
      <c r="I79" s="45">
        <v>2</v>
      </c>
      <c r="J79" s="45">
        <v>2</v>
      </c>
      <c r="K79" s="45">
        <v>2</v>
      </c>
      <c r="L79" s="45">
        <v>2</v>
      </c>
      <c r="M79" s="45">
        <v>2</v>
      </c>
      <c r="N79" s="45">
        <v>2</v>
      </c>
      <c r="O79" s="45">
        <v>2</v>
      </c>
      <c r="P79" s="45">
        <v>2</v>
      </c>
      <c r="Q79" s="45">
        <v>2</v>
      </c>
      <c r="R79" s="45">
        <v>2</v>
      </c>
      <c r="S79" s="45">
        <v>2</v>
      </c>
      <c r="T79" s="45">
        <v>2</v>
      </c>
      <c r="U79" s="45">
        <v>2</v>
      </c>
      <c r="V79" s="45">
        <v>2</v>
      </c>
      <c r="W79" s="45">
        <v>2</v>
      </c>
      <c r="X79" s="45">
        <v>2</v>
      </c>
      <c r="Y79" s="45">
        <v>1</v>
      </c>
      <c r="Z79" s="45">
        <v>1</v>
      </c>
      <c r="AA79" s="40">
        <v>0</v>
      </c>
      <c r="AB79" s="45">
        <v>0</v>
      </c>
      <c r="AC79" s="45">
        <v>0</v>
      </c>
    </row>
    <row r="80" spans="1:29" x14ac:dyDescent="0.25">
      <c r="A80" s="83"/>
      <c r="B80" s="82" t="s">
        <v>74</v>
      </c>
      <c r="C80" s="85" t="s">
        <v>72</v>
      </c>
      <c r="D80" s="85"/>
      <c r="E80" s="82" t="s">
        <v>75</v>
      </c>
      <c r="F80" s="82"/>
      <c r="G80" s="45">
        <v>2</v>
      </c>
      <c r="H80" s="45">
        <v>5</v>
      </c>
      <c r="I80" s="45">
        <v>5</v>
      </c>
      <c r="J80" s="45">
        <v>5</v>
      </c>
      <c r="K80" s="45">
        <v>5</v>
      </c>
      <c r="L80" s="45">
        <v>5</v>
      </c>
      <c r="M80" s="45">
        <v>5</v>
      </c>
      <c r="N80" s="45">
        <v>5</v>
      </c>
      <c r="O80" s="45">
        <v>5</v>
      </c>
      <c r="P80" s="45">
        <v>5</v>
      </c>
      <c r="Q80" s="45">
        <v>5</v>
      </c>
      <c r="R80" s="45">
        <v>5</v>
      </c>
      <c r="S80" s="45">
        <v>5</v>
      </c>
      <c r="T80" s="45">
        <v>5</v>
      </c>
      <c r="U80" s="45">
        <v>5</v>
      </c>
      <c r="V80" s="45">
        <v>5</v>
      </c>
      <c r="W80" s="45">
        <v>5</v>
      </c>
      <c r="X80" s="45">
        <v>5</v>
      </c>
      <c r="Y80" s="45">
        <v>5</v>
      </c>
      <c r="Z80" s="45">
        <v>5</v>
      </c>
      <c r="AA80" s="45">
        <v>5</v>
      </c>
      <c r="AB80" s="40">
        <v>0</v>
      </c>
      <c r="AC80" s="45">
        <v>0</v>
      </c>
    </row>
    <row r="81" spans="1:29" x14ac:dyDescent="0.25">
      <c r="A81" s="83"/>
      <c r="B81" s="82"/>
      <c r="C81" s="85" t="s">
        <v>73</v>
      </c>
      <c r="D81" s="85"/>
      <c r="E81" s="82" t="s">
        <v>75</v>
      </c>
      <c r="F81" s="82"/>
      <c r="G81" s="45">
        <v>8</v>
      </c>
      <c r="H81" s="45">
        <v>5</v>
      </c>
      <c r="I81" s="45">
        <v>5</v>
      </c>
      <c r="J81" s="45">
        <v>5</v>
      </c>
      <c r="K81" s="45">
        <v>5</v>
      </c>
      <c r="L81" s="45">
        <v>5</v>
      </c>
      <c r="M81" s="45">
        <v>5</v>
      </c>
      <c r="N81" s="45">
        <v>5</v>
      </c>
      <c r="O81" s="45">
        <v>5</v>
      </c>
      <c r="P81" s="45">
        <v>5</v>
      </c>
      <c r="Q81" s="45">
        <v>5</v>
      </c>
      <c r="R81" s="45">
        <v>5</v>
      </c>
      <c r="S81" s="45">
        <v>5</v>
      </c>
      <c r="T81" s="45">
        <v>5</v>
      </c>
      <c r="U81" s="45">
        <v>5</v>
      </c>
      <c r="V81" s="45">
        <v>5</v>
      </c>
      <c r="W81" s="45">
        <v>5</v>
      </c>
      <c r="X81" s="45">
        <v>5</v>
      </c>
      <c r="Y81" s="45">
        <v>5</v>
      </c>
      <c r="Z81" s="45">
        <v>5</v>
      </c>
      <c r="AA81" s="45">
        <v>5</v>
      </c>
      <c r="AB81" s="45">
        <v>5</v>
      </c>
      <c r="AC81" s="40">
        <v>0</v>
      </c>
    </row>
    <row r="82" spans="1:29" x14ac:dyDescent="0.25">
      <c r="A82" s="83"/>
      <c r="B82" s="81" t="s">
        <v>12</v>
      </c>
      <c r="C82" s="81"/>
      <c r="D82" s="81"/>
      <c r="E82" s="91" t="s">
        <v>10</v>
      </c>
      <c r="F82" s="91"/>
      <c r="G82" s="82">
        <f>SUM(G16:G81)</f>
        <v>166</v>
      </c>
      <c r="H82" s="82"/>
      <c r="I82" s="45">
        <f>SUM(I16:I81)</f>
        <v>157</v>
      </c>
      <c r="J82" s="45">
        <f>SUM(J16:J81)</f>
        <v>149</v>
      </c>
      <c r="K82" s="45">
        <f>SUM(K16:K81)-K23-K23</f>
        <v>139</v>
      </c>
      <c r="L82" s="45">
        <f>SUM(L16:L81)</f>
        <v>136</v>
      </c>
      <c r="M82" s="45">
        <f>SUM(M16:M81)</f>
        <v>126</v>
      </c>
      <c r="N82" s="45">
        <f>SUM(N16:N81)</f>
        <v>116</v>
      </c>
      <c r="O82" s="45">
        <f>SUM(O16:O81)</f>
        <v>110</v>
      </c>
      <c r="P82" s="45">
        <f>SUM(P16:P81)</f>
        <v>100</v>
      </c>
      <c r="Q82" s="45">
        <f>SUM(Q16:Q81)-Q50+Q50</f>
        <v>78</v>
      </c>
      <c r="R82" s="45">
        <f>SUM(R16:R81)</f>
        <v>64</v>
      </c>
      <c r="S82" s="45">
        <f>SUM(S16:S81)</f>
        <v>62</v>
      </c>
      <c r="T82" s="45">
        <f>SUM(T16:T81)</f>
        <v>52</v>
      </c>
      <c r="U82" s="45">
        <f>SUM(U16:U81)-U59-U59</f>
        <v>38</v>
      </c>
      <c r="V82" s="45">
        <f t="shared" ref="V82:AC82" si="0">SUM(V16:V81)</f>
        <v>28</v>
      </c>
      <c r="W82" s="45">
        <f t="shared" si="0"/>
        <v>23</v>
      </c>
      <c r="X82" s="45">
        <f t="shared" si="0"/>
        <v>16</v>
      </c>
      <c r="Y82" s="45">
        <f t="shared" si="0"/>
        <v>12</v>
      </c>
      <c r="Z82" s="45">
        <f t="shared" si="0"/>
        <v>11</v>
      </c>
      <c r="AA82" s="45">
        <f t="shared" si="0"/>
        <v>10</v>
      </c>
      <c r="AB82" s="45">
        <f t="shared" si="0"/>
        <v>5</v>
      </c>
      <c r="AC82" s="45">
        <f t="shared" si="0"/>
        <v>0</v>
      </c>
    </row>
    <row r="83" spans="1:29" x14ac:dyDescent="0.25">
      <c r="A83" s="83"/>
      <c r="B83" s="81"/>
      <c r="C83" s="81"/>
      <c r="D83" s="81"/>
      <c r="E83" s="91" t="s">
        <v>11</v>
      </c>
      <c r="F83" s="91"/>
      <c r="G83" s="82">
        <f>SUM(H16:H81)</f>
        <v>167</v>
      </c>
      <c r="H83" s="82"/>
      <c r="I83" s="45">
        <f>SUM(I16:I81)</f>
        <v>157</v>
      </c>
      <c r="J83" s="45">
        <f>SUM(J16:J81)</f>
        <v>149</v>
      </c>
      <c r="K83" s="45">
        <f>SUM(K16:K81)-K23</f>
        <v>140</v>
      </c>
      <c r="L83" s="45">
        <f>SUM(L16:L81)</f>
        <v>136</v>
      </c>
      <c r="M83" s="45">
        <f>SUM(M16:M81)</f>
        <v>126</v>
      </c>
      <c r="N83" s="45">
        <f>SUM(N16:N81)</f>
        <v>116</v>
      </c>
      <c r="O83" s="45">
        <f>SUM(O16:O81)</f>
        <v>110</v>
      </c>
      <c r="P83" s="45">
        <f>SUM(P16:P81)</f>
        <v>100</v>
      </c>
      <c r="Q83" s="45">
        <f>SUM(Q16:Q81)-Q50</f>
        <v>77</v>
      </c>
      <c r="R83" s="45">
        <f>SUM(R16:R81)</f>
        <v>64</v>
      </c>
      <c r="S83" s="45">
        <f>SUM(S16:S81)</f>
        <v>62</v>
      </c>
      <c r="T83" s="45">
        <f>SUM(T16:T81)</f>
        <v>52</v>
      </c>
      <c r="U83" s="45">
        <f>SUM(U16:U81)-U59</f>
        <v>39</v>
      </c>
      <c r="V83" s="45">
        <f t="shared" ref="V83:AC83" si="1">SUM(V16:V81)</f>
        <v>28</v>
      </c>
      <c r="W83" s="45">
        <f t="shared" si="1"/>
        <v>23</v>
      </c>
      <c r="X83" s="45">
        <f t="shared" si="1"/>
        <v>16</v>
      </c>
      <c r="Y83" s="45">
        <f t="shared" si="1"/>
        <v>12</v>
      </c>
      <c r="Z83" s="45">
        <f t="shared" si="1"/>
        <v>11</v>
      </c>
      <c r="AA83" s="45">
        <f t="shared" si="1"/>
        <v>10</v>
      </c>
      <c r="AB83" s="45">
        <f t="shared" si="1"/>
        <v>5</v>
      </c>
      <c r="AC83" s="45">
        <f t="shared" si="1"/>
        <v>0</v>
      </c>
    </row>
  </sheetData>
  <mergeCells count="146">
    <mergeCell ref="E78:F78"/>
    <mergeCell ref="E79:F79"/>
    <mergeCell ref="E80:F80"/>
    <mergeCell ref="E81:F81"/>
    <mergeCell ref="G82:H82"/>
    <mergeCell ref="G83:H83"/>
    <mergeCell ref="C76:D76"/>
    <mergeCell ref="C77:D77"/>
    <mergeCell ref="C78:D78"/>
    <mergeCell ref="C79:D79"/>
    <mergeCell ref="B82:D83"/>
    <mergeCell ref="E82:F82"/>
    <mergeCell ref="E83:F83"/>
    <mergeCell ref="E72:F72"/>
    <mergeCell ref="E73:F73"/>
    <mergeCell ref="E74:F74"/>
    <mergeCell ref="E75:F75"/>
    <mergeCell ref="E76:F76"/>
    <mergeCell ref="E77:F77"/>
    <mergeCell ref="C71:D71"/>
    <mergeCell ref="E71:F71"/>
    <mergeCell ref="C72:D72"/>
    <mergeCell ref="C73:D73"/>
    <mergeCell ref="C74:D74"/>
    <mergeCell ref="C75:D75"/>
    <mergeCell ref="C68:D68"/>
    <mergeCell ref="E68:F68"/>
    <mergeCell ref="C69:D69"/>
    <mergeCell ref="E69:F69"/>
    <mergeCell ref="C70:D70"/>
    <mergeCell ref="E70:F70"/>
    <mergeCell ref="C65:D65"/>
    <mergeCell ref="E65:F65"/>
    <mergeCell ref="C66:D66"/>
    <mergeCell ref="E66:F66"/>
    <mergeCell ref="C67:D67"/>
    <mergeCell ref="E67:F67"/>
    <mergeCell ref="C62:D62"/>
    <mergeCell ref="E62:F62"/>
    <mergeCell ref="C63:D63"/>
    <mergeCell ref="E63:F63"/>
    <mergeCell ref="C64:D64"/>
    <mergeCell ref="E64:F64"/>
    <mergeCell ref="C58:D58"/>
    <mergeCell ref="E58:F58"/>
    <mergeCell ref="C60:D60"/>
    <mergeCell ref="E60:F60"/>
    <mergeCell ref="C61:D61"/>
    <mergeCell ref="E61:F61"/>
    <mergeCell ref="C55:D55"/>
    <mergeCell ref="E55:F55"/>
    <mergeCell ref="C56:D56"/>
    <mergeCell ref="E56:F56"/>
    <mergeCell ref="C57:D57"/>
    <mergeCell ref="E57:F57"/>
    <mergeCell ref="C52:D52"/>
    <mergeCell ref="E52:F52"/>
    <mergeCell ref="C53:D53"/>
    <mergeCell ref="E53:F53"/>
    <mergeCell ref="C54:D54"/>
    <mergeCell ref="E54:F54"/>
    <mergeCell ref="E47:F47"/>
    <mergeCell ref="C48:D48"/>
    <mergeCell ref="E48:F48"/>
    <mergeCell ref="C49:D49"/>
    <mergeCell ref="E49:F49"/>
    <mergeCell ref="C51:D51"/>
    <mergeCell ref="E51:F51"/>
    <mergeCell ref="E43:F43"/>
    <mergeCell ref="C44:D44"/>
    <mergeCell ref="E44:F44"/>
    <mergeCell ref="C45:D45"/>
    <mergeCell ref="E45:F45"/>
    <mergeCell ref="C46:D46"/>
    <mergeCell ref="E46:F46"/>
    <mergeCell ref="C39:D39"/>
    <mergeCell ref="E39:F39"/>
    <mergeCell ref="C41:D41"/>
    <mergeCell ref="E41:F41"/>
    <mergeCell ref="C42:D42"/>
    <mergeCell ref="E42:F42"/>
    <mergeCell ref="C37:D37"/>
    <mergeCell ref="E33:F33"/>
    <mergeCell ref="E34:F34"/>
    <mergeCell ref="E35:F35"/>
    <mergeCell ref="E36:F36"/>
    <mergeCell ref="E37:F37"/>
    <mergeCell ref="C34:D34"/>
    <mergeCell ref="C35:D35"/>
    <mergeCell ref="E40:F40"/>
    <mergeCell ref="C40:D40"/>
    <mergeCell ref="E28:F28"/>
    <mergeCell ref="C28:D28"/>
    <mergeCell ref="E29:F29"/>
    <mergeCell ref="C29:D29"/>
    <mergeCell ref="C30:D30"/>
    <mergeCell ref="E30:F30"/>
    <mergeCell ref="E38:F38"/>
    <mergeCell ref="B29:B37"/>
    <mergeCell ref="C20:D20"/>
    <mergeCell ref="C24:D24"/>
    <mergeCell ref="C31:D31"/>
    <mergeCell ref="C36:D36"/>
    <mergeCell ref="E31:F31"/>
    <mergeCell ref="C32:D32"/>
    <mergeCell ref="E32:F32"/>
    <mergeCell ref="C33:D33"/>
    <mergeCell ref="B16:D16"/>
    <mergeCell ref="B17:D17"/>
    <mergeCell ref="E24:F24"/>
    <mergeCell ref="C25:D25"/>
    <mergeCell ref="E25:F25"/>
    <mergeCell ref="E26:F26"/>
    <mergeCell ref="C26:D26"/>
    <mergeCell ref="E27:F27"/>
    <mergeCell ref="C27:D27"/>
    <mergeCell ref="E19:F19"/>
    <mergeCell ref="E20:F20"/>
    <mergeCell ref="C21:D21"/>
    <mergeCell ref="E21:F21"/>
    <mergeCell ref="E22:F22"/>
    <mergeCell ref="C22:D22"/>
    <mergeCell ref="C15:D15"/>
    <mergeCell ref="E23:F23"/>
    <mergeCell ref="C23:D23"/>
    <mergeCell ref="E50:F50"/>
    <mergeCell ref="C50:D50"/>
    <mergeCell ref="C59:D59"/>
    <mergeCell ref="E59:F59"/>
    <mergeCell ref="A16:A83"/>
    <mergeCell ref="E16:F16"/>
    <mergeCell ref="E17:F17"/>
    <mergeCell ref="E18:F18"/>
    <mergeCell ref="C19:D19"/>
    <mergeCell ref="B38:B54"/>
    <mergeCell ref="B55:B63"/>
    <mergeCell ref="B64:B71"/>
    <mergeCell ref="B72:B79"/>
    <mergeCell ref="C80:D80"/>
    <mergeCell ref="C81:D81"/>
    <mergeCell ref="B80:B81"/>
    <mergeCell ref="C38:D38"/>
    <mergeCell ref="C43:D43"/>
    <mergeCell ref="C47:D47"/>
    <mergeCell ref="B18:D18"/>
    <mergeCell ref="B19:B28"/>
  </mergeCells>
  <pageMargins left="0.7" right="0.7" top="0.75" bottom="0.75" header="0.3" footer="0.3"/>
  <pageSetup scale="4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71"/>
  <sheetViews>
    <sheetView tabSelected="1" topLeftCell="B88" zoomScale="85" zoomScaleNormal="85" workbookViewId="0">
      <selection activeCell="I15" sqref="I15"/>
    </sheetView>
  </sheetViews>
  <sheetFormatPr defaultRowHeight="13.8" x14ac:dyDescent="0.25"/>
  <cols>
    <col min="1" max="1" width="16.109375" style="29" bestFit="1" customWidth="1"/>
    <col min="2" max="2" width="23" style="29" bestFit="1" customWidth="1"/>
    <col min="3" max="3" width="70" style="29" bestFit="1" customWidth="1"/>
    <col min="4" max="4" width="9.109375" style="29" bestFit="1" customWidth="1"/>
    <col min="5" max="5" width="23.21875" style="29" bestFit="1" customWidth="1"/>
    <col min="6" max="6" width="15.6640625" style="29" bestFit="1" customWidth="1"/>
    <col min="7" max="8" width="4" style="29" bestFit="1" customWidth="1"/>
    <col min="9" max="12" width="4.6640625" style="29" bestFit="1" customWidth="1"/>
    <col min="13" max="29" width="4" style="29" bestFit="1" customWidth="1"/>
    <col min="30" max="16384" width="8.88671875" style="29"/>
  </cols>
  <sheetData>
    <row r="1" spans="1:29" ht="28.2" thickBot="1" x14ac:dyDescent="0.3">
      <c r="A1" s="13" t="s">
        <v>0</v>
      </c>
      <c r="B1" s="13"/>
      <c r="C1" s="14" t="s">
        <v>85</v>
      </c>
      <c r="D1" s="15"/>
      <c r="E1" s="16"/>
      <c r="F1" s="17" t="s">
        <v>82</v>
      </c>
    </row>
    <row r="2" spans="1:29" ht="14.4" thickBot="1" x14ac:dyDescent="0.3">
      <c r="A2" s="13" t="s">
        <v>1</v>
      </c>
      <c r="B2" s="13"/>
      <c r="C2" s="18" t="s">
        <v>86</v>
      </c>
      <c r="D2" s="15"/>
      <c r="E2" s="30"/>
      <c r="F2" s="19" t="s">
        <v>83</v>
      </c>
    </row>
    <row r="3" spans="1:29" ht="14.4" thickBot="1" x14ac:dyDescent="0.3">
      <c r="A3" s="13" t="s">
        <v>4</v>
      </c>
      <c r="B3" s="13"/>
      <c r="C3" s="20">
        <v>46122</v>
      </c>
      <c r="D3" s="15"/>
      <c r="E3" s="21"/>
      <c r="F3" s="19" t="s">
        <v>3</v>
      </c>
    </row>
    <row r="4" spans="1:29" ht="18.600000000000001" customHeight="1" thickBot="1" x14ac:dyDescent="0.3">
      <c r="A4" s="13" t="s">
        <v>6</v>
      </c>
      <c r="B4" s="13"/>
      <c r="C4" s="20">
        <v>46142</v>
      </c>
      <c r="D4" s="15"/>
      <c r="E4" s="22"/>
      <c r="F4" s="19" t="s">
        <v>84</v>
      </c>
    </row>
    <row r="5" spans="1:29" ht="18" customHeight="1" thickBot="1" x14ac:dyDescent="0.3">
      <c r="A5" s="15"/>
      <c r="B5" s="15"/>
      <c r="C5" s="15"/>
      <c r="D5" s="15"/>
      <c r="E5" s="23"/>
      <c r="F5" s="24" t="s">
        <v>5</v>
      </c>
    </row>
    <row r="6" spans="1:29" ht="14.4" thickBot="1" x14ac:dyDescent="0.3">
      <c r="B6" s="25" t="s">
        <v>7</v>
      </c>
      <c r="C6" s="25"/>
      <c r="D6" s="25"/>
      <c r="E6" s="25"/>
    </row>
    <row r="7" spans="1:29" ht="14.4" thickBot="1" x14ac:dyDescent="0.3">
      <c r="B7" s="26" t="s">
        <v>8</v>
      </c>
      <c r="C7" s="26" t="s">
        <v>9</v>
      </c>
      <c r="D7" s="26" t="s">
        <v>10</v>
      </c>
      <c r="E7" s="26" t="s">
        <v>11</v>
      </c>
    </row>
    <row r="8" spans="1:29" ht="14.4" thickBot="1" x14ac:dyDescent="0.3">
      <c r="B8" s="27">
        <v>1</v>
      </c>
      <c r="C8" s="28" t="s">
        <v>13</v>
      </c>
      <c r="D8" s="28">
        <f ca="1">SUMIF(E16:$F$69,"Khoa",$G$16:$G$69)+SUMIF(E16:$F$69,"All Team",$G$16:$G$69)/5</f>
        <v>28</v>
      </c>
      <c r="E8" s="28">
        <f ca="1">SUMIF($E$16:$F$69,"Khoa",$H$16:$H$69)+SUMIF($E$16:$F$69,"All Team",$H$16:$H$69)/5</f>
        <v>28</v>
      </c>
    </row>
    <row r="9" spans="1:29" ht="14.4" thickBot="1" x14ac:dyDescent="0.3">
      <c r="B9" s="27">
        <v>2</v>
      </c>
      <c r="C9" s="28" t="s">
        <v>14</v>
      </c>
      <c r="D9" s="28">
        <f ca="1">SUMIF($E$16:$F$69,"Khánh",$G$16:$G$69)+SUMIF($E$16:$F$69,"All Team",$G$16:$G$69)/5</f>
        <v>27</v>
      </c>
      <c r="E9" s="28">
        <f ca="1">SUMIF($E$16:$F$69,"Khánh",$H$16:$H$69)+SUMIF($E$16:$F$69,"All Team",$H$16:$H$69)/5</f>
        <v>27</v>
      </c>
    </row>
    <row r="10" spans="1:29" ht="14.4" thickBot="1" x14ac:dyDescent="0.3">
      <c r="B10" s="27">
        <v>3</v>
      </c>
      <c r="C10" s="28" t="s">
        <v>15</v>
      </c>
      <c r="D10" s="28">
        <f ca="1">SUMIF(E16:$F$69,"Duyên",$G$16:$G$69)+SUMIF(E16:$F$69,"All Team",$G$16:$G$69)/5</f>
        <v>28</v>
      </c>
      <c r="E10" s="28">
        <f ca="1">SUMIF($E$16:$F$69,"Duyên",$H$16:$H$69)+SUMIF($E$16:$F$69,"All Team",$H$16:$H$69)/5</f>
        <v>28</v>
      </c>
    </row>
    <row r="11" spans="1:29" ht="14.4" thickBot="1" x14ac:dyDescent="0.3">
      <c r="B11" s="27">
        <v>4</v>
      </c>
      <c r="C11" s="28" t="s">
        <v>16</v>
      </c>
      <c r="D11" s="28">
        <f ca="1">SUMIF(E16:$F$69,"Duy",$G$16:$G$69)+SUMIF(E16:$F$69,"All Team",$G$16:$G$69)/5</f>
        <v>27</v>
      </c>
      <c r="E11" s="28">
        <f ca="1">SUMIF($E$16:$F$69,"Duy",$H$16:$H$69)+SUMIF($E$16:$F$69,"All Team",$H$16:$H$69)/5</f>
        <v>28</v>
      </c>
    </row>
    <row r="12" spans="1:29" ht="14.4" thickBot="1" x14ac:dyDescent="0.3">
      <c r="B12" s="27">
        <v>5</v>
      </c>
      <c r="C12" s="28" t="s">
        <v>199</v>
      </c>
      <c r="D12" s="28">
        <f ca="1">SUMIF(E16:$F$69,"Rin",$G$16:$G$69)+SUMIF(E16:$F$69,"All Team",$G$16:$G$69)/5</f>
        <v>31</v>
      </c>
      <c r="E12" s="28">
        <f ca="1">SUMIF($E$16:$F$69,"Rin",$H$16:$H$69)+SUMIF($E$16:$F$69,"All Team",$H$16:$H$69)/5</f>
        <v>31</v>
      </c>
    </row>
    <row r="13" spans="1:29" ht="14.4" thickBot="1" x14ac:dyDescent="0.3">
      <c r="B13" s="25" t="s">
        <v>12</v>
      </c>
      <c r="C13" s="25"/>
      <c r="D13" s="25">
        <f ca="1">SUM(D8:D12)</f>
        <v>141</v>
      </c>
      <c r="E13" s="25">
        <f ca="1">SUM(E8:E12)</f>
        <v>142</v>
      </c>
    </row>
    <row r="15" spans="1:29" ht="66" customHeight="1" x14ac:dyDescent="0.25">
      <c r="A15" s="36" t="s">
        <v>17</v>
      </c>
      <c r="B15" s="36" t="s">
        <v>18</v>
      </c>
      <c r="C15" s="81" t="s">
        <v>19</v>
      </c>
      <c r="D15" s="81"/>
      <c r="E15" s="36" t="s">
        <v>20</v>
      </c>
      <c r="F15" s="36"/>
      <c r="G15" s="37" t="s">
        <v>10</v>
      </c>
      <c r="H15" s="37" t="s">
        <v>11</v>
      </c>
      <c r="I15" s="38">
        <v>46122</v>
      </c>
      <c r="J15" s="38">
        <v>46123</v>
      </c>
      <c r="K15" s="38">
        <v>46124</v>
      </c>
      <c r="L15" s="38">
        <v>46125</v>
      </c>
      <c r="M15" s="38">
        <v>46126</v>
      </c>
      <c r="N15" s="38">
        <v>46127</v>
      </c>
      <c r="O15" s="38">
        <v>46128</v>
      </c>
      <c r="P15" s="38">
        <v>46129</v>
      </c>
      <c r="Q15" s="38">
        <v>46130</v>
      </c>
      <c r="R15" s="38">
        <v>46131</v>
      </c>
      <c r="S15" s="38">
        <v>46132</v>
      </c>
      <c r="T15" s="38">
        <v>46133</v>
      </c>
      <c r="U15" s="38">
        <v>46134</v>
      </c>
      <c r="V15" s="38">
        <v>46135</v>
      </c>
      <c r="W15" s="38">
        <v>46136</v>
      </c>
      <c r="X15" s="38">
        <v>46137</v>
      </c>
      <c r="Y15" s="38">
        <v>46138</v>
      </c>
      <c r="Z15" s="38">
        <v>46139</v>
      </c>
      <c r="AA15" s="38">
        <v>46140</v>
      </c>
      <c r="AB15" s="38">
        <v>46141</v>
      </c>
      <c r="AC15" s="38">
        <v>46142</v>
      </c>
    </row>
    <row r="16" spans="1:29" x14ac:dyDescent="0.25">
      <c r="A16" s="83" t="s">
        <v>122</v>
      </c>
      <c r="B16" s="84" t="s">
        <v>21</v>
      </c>
      <c r="C16" s="84"/>
      <c r="D16" s="84"/>
      <c r="E16" s="82" t="s">
        <v>75</v>
      </c>
      <c r="F16" s="82"/>
      <c r="G16" s="39">
        <v>10</v>
      </c>
      <c r="H16" s="39">
        <v>10</v>
      </c>
      <c r="I16" s="40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</row>
    <row r="17" spans="1:29" x14ac:dyDescent="0.25">
      <c r="A17" s="83"/>
      <c r="B17" s="84" t="s">
        <v>87</v>
      </c>
      <c r="C17" s="84"/>
      <c r="D17" s="84"/>
      <c r="E17" s="82" t="s">
        <v>77</v>
      </c>
      <c r="F17" s="82"/>
      <c r="G17" s="39">
        <v>4</v>
      </c>
      <c r="H17" s="39">
        <v>4</v>
      </c>
      <c r="I17" s="40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</row>
    <row r="18" spans="1:29" x14ac:dyDescent="0.25">
      <c r="A18" s="83"/>
      <c r="B18" s="84" t="s">
        <v>23</v>
      </c>
      <c r="C18" s="84"/>
      <c r="D18" s="84"/>
      <c r="E18" s="82" t="s">
        <v>77</v>
      </c>
      <c r="F18" s="82"/>
      <c r="G18" s="39">
        <v>4</v>
      </c>
      <c r="H18" s="39">
        <v>4</v>
      </c>
      <c r="I18" s="39">
        <v>2</v>
      </c>
      <c r="J18" s="40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</row>
    <row r="19" spans="1:29" x14ac:dyDescent="0.25">
      <c r="A19" s="83"/>
      <c r="B19" s="86" t="s">
        <v>31</v>
      </c>
      <c r="C19" s="84" t="s">
        <v>89</v>
      </c>
      <c r="D19" s="84"/>
      <c r="E19" s="82" t="s">
        <v>78</v>
      </c>
      <c r="F19" s="82"/>
      <c r="G19" s="39">
        <v>2</v>
      </c>
      <c r="H19" s="39">
        <v>2</v>
      </c>
      <c r="I19" s="39">
        <v>2</v>
      </c>
      <c r="J19" s="39">
        <v>2</v>
      </c>
      <c r="K19" s="40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</row>
    <row r="20" spans="1:29" x14ac:dyDescent="0.25">
      <c r="A20" s="83"/>
      <c r="B20" s="86"/>
      <c r="C20" s="84" t="s">
        <v>88</v>
      </c>
      <c r="D20" s="84"/>
      <c r="E20" s="82" t="s">
        <v>76</v>
      </c>
      <c r="F20" s="82"/>
      <c r="G20" s="39">
        <v>2</v>
      </c>
      <c r="H20" s="39">
        <v>2</v>
      </c>
      <c r="I20" s="39">
        <v>2</v>
      </c>
      <c r="J20" s="39">
        <v>2</v>
      </c>
      <c r="K20" s="40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</row>
    <row r="21" spans="1:29" x14ac:dyDescent="0.25">
      <c r="A21" s="83"/>
      <c r="B21" s="86"/>
      <c r="C21" s="84" t="s">
        <v>97</v>
      </c>
      <c r="D21" s="84"/>
      <c r="E21" s="82" t="s">
        <v>79</v>
      </c>
      <c r="F21" s="82"/>
      <c r="G21" s="39">
        <v>2</v>
      </c>
      <c r="H21" s="39">
        <v>2</v>
      </c>
      <c r="I21" s="39">
        <v>2</v>
      </c>
      <c r="J21" s="39">
        <v>2</v>
      </c>
      <c r="K21" s="40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</row>
    <row r="22" spans="1:29" x14ac:dyDescent="0.25">
      <c r="A22" s="83"/>
      <c r="B22" s="86"/>
      <c r="C22" s="84" t="s">
        <v>90</v>
      </c>
      <c r="D22" s="84"/>
      <c r="E22" s="82" t="s">
        <v>80</v>
      </c>
      <c r="F22" s="82"/>
      <c r="G22" s="39">
        <v>2</v>
      </c>
      <c r="H22" s="39">
        <v>2</v>
      </c>
      <c r="I22" s="39">
        <v>2</v>
      </c>
      <c r="J22" s="39">
        <v>2</v>
      </c>
      <c r="K22" s="40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</row>
    <row r="23" spans="1:29" x14ac:dyDescent="0.25">
      <c r="A23" s="83"/>
      <c r="B23" s="86"/>
      <c r="C23" s="84" t="s">
        <v>91</v>
      </c>
      <c r="D23" s="84"/>
      <c r="E23" s="82" t="s">
        <v>78</v>
      </c>
      <c r="F23" s="82"/>
      <c r="G23" s="39">
        <v>2</v>
      </c>
      <c r="H23" s="39">
        <v>2</v>
      </c>
      <c r="I23" s="39">
        <v>2</v>
      </c>
      <c r="J23" s="39">
        <v>2</v>
      </c>
      <c r="K23" s="40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</row>
    <row r="24" spans="1:29" x14ac:dyDescent="0.25">
      <c r="A24" s="83"/>
      <c r="B24" s="86"/>
      <c r="C24" s="84" t="s">
        <v>92</v>
      </c>
      <c r="D24" s="84"/>
      <c r="E24" s="82" t="s">
        <v>76</v>
      </c>
      <c r="F24" s="82"/>
      <c r="G24" s="39">
        <v>2</v>
      </c>
      <c r="H24" s="39">
        <v>2</v>
      </c>
      <c r="I24" s="39">
        <v>2</v>
      </c>
      <c r="J24" s="39">
        <v>2</v>
      </c>
      <c r="K24" s="40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</row>
    <row r="25" spans="1:29" x14ac:dyDescent="0.25">
      <c r="A25" s="83"/>
      <c r="B25" s="86"/>
      <c r="C25" s="84" t="s">
        <v>93</v>
      </c>
      <c r="D25" s="84"/>
      <c r="E25" s="82" t="s">
        <v>75</v>
      </c>
      <c r="F25" s="82"/>
      <c r="G25" s="39">
        <v>10</v>
      </c>
      <c r="H25" s="39">
        <v>10</v>
      </c>
      <c r="I25" s="39">
        <v>10</v>
      </c>
      <c r="J25" s="39">
        <v>10</v>
      </c>
      <c r="K25" s="39">
        <v>10</v>
      </c>
      <c r="L25" s="40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</row>
    <row r="26" spans="1:29" x14ac:dyDescent="0.25">
      <c r="A26" s="83"/>
      <c r="B26" s="86" t="s">
        <v>41</v>
      </c>
      <c r="C26" s="84" t="s">
        <v>94</v>
      </c>
      <c r="D26" s="84"/>
      <c r="E26" s="82" t="s">
        <v>78</v>
      </c>
      <c r="F26" s="82"/>
      <c r="G26" s="39">
        <v>2</v>
      </c>
      <c r="H26" s="39">
        <v>2</v>
      </c>
      <c r="I26" s="39">
        <v>2</v>
      </c>
      <c r="J26" s="39">
        <v>2</v>
      </c>
      <c r="K26" s="39">
        <v>2</v>
      </c>
      <c r="L26" s="39">
        <v>2</v>
      </c>
      <c r="M26" s="40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</row>
    <row r="27" spans="1:29" x14ac:dyDescent="0.25">
      <c r="A27" s="83"/>
      <c r="B27" s="86"/>
      <c r="C27" s="84" t="s">
        <v>95</v>
      </c>
      <c r="D27" s="84"/>
      <c r="E27" s="82" t="s">
        <v>76</v>
      </c>
      <c r="F27" s="82"/>
      <c r="G27" s="39">
        <v>2</v>
      </c>
      <c r="H27" s="39">
        <v>2</v>
      </c>
      <c r="I27" s="39">
        <v>2</v>
      </c>
      <c r="J27" s="39">
        <v>2</v>
      </c>
      <c r="K27" s="39">
        <v>2</v>
      </c>
      <c r="L27" s="39">
        <v>2</v>
      </c>
      <c r="M27" s="40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</row>
    <row r="28" spans="1:29" x14ac:dyDescent="0.25">
      <c r="A28" s="83"/>
      <c r="B28" s="86"/>
      <c r="C28" s="84" t="s">
        <v>96</v>
      </c>
      <c r="D28" s="84"/>
      <c r="E28" s="82" t="s">
        <v>79</v>
      </c>
      <c r="F28" s="82"/>
      <c r="G28" s="39">
        <v>2</v>
      </c>
      <c r="H28" s="39">
        <v>2</v>
      </c>
      <c r="I28" s="39">
        <v>2</v>
      </c>
      <c r="J28" s="39">
        <v>2</v>
      </c>
      <c r="K28" s="39">
        <v>2</v>
      </c>
      <c r="L28" s="39">
        <v>2</v>
      </c>
      <c r="M28" s="40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</row>
    <row r="29" spans="1:29" x14ac:dyDescent="0.25">
      <c r="A29" s="83"/>
      <c r="B29" s="86"/>
      <c r="C29" s="84" t="s">
        <v>98</v>
      </c>
      <c r="D29" s="84"/>
      <c r="E29" s="82" t="s">
        <v>80</v>
      </c>
      <c r="F29" s="82"/>
      <c r="G29" s="39">
        <v>2</v>
      </c>
      <c r="H29" s="39">
        <v>2</v>
      </c>
      <c r="I29" s="39">
        <v>2</v>
      </c>
      <c r="J29" s="39">
        <v>2</v>
      </c>
      <c r="K29" s="39">
        <v>2</v>
      </c>
      <c r="L29" s="39">
        <v>2</v>
      </c>
      <c r="M29" s="40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</row>
    <row r="30" spans="1:29" x14ac:dyDescent="0.25">
      <c r="A30" s="83"/>
      <c r="B30" s="86"/>
      <c r="C30" s="84" t="s">
        <v>99</v>
      </c>
      <c r="D30" s="84"/>
      <c r="E30" s="82" t="s">
        <v>77</v>
      </c>
      <c r="F30" s="82"/>
      <c r="G30" s="39">
        <v>2</v>
      </c>
      <c r="H30" s="39">
        <v>2</v>
      </c>
      <c r="I30" s="39">
        <v>2</v>
      </c>
      <c r="J30" s="39">
        <v>2</v>
      </c>
      <c r="K30" s="39">
        <v>2</v>
      </c>
      <c r="L30" s="39">
        <v>2</v>
      </c>
      <c r="M30" s="40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</row>
    <row r="31" spans="1:29" x14ac:dyDescent="0.25">
      <c r="A31" s="83"/>
      <c r="B31" s="86"/>
      <c r="C31" s="84" t="s">
        <v>100</v>
      </c>
      <c r="D31" s="84"/>
      <c r="E31" s="82" t="s">
        <v>78</v>
      </c>
      <c r="F31" s="82"/>
      <c r="G31" s="39">
        <v>2</v>
      </c>
      <c r="H31" s="39">
        <v>2</v>
      </c>
      <c r="I31" s="39">
        <v>2</v>
      </c>
      <c r="J31" s="39">
        <v>2</v>
      </c>
      <c r="K31" s="39">
        <v>2</v>
      </c>
      <c r="L31" s="39">
        <v>2</v>
      </c>
      <c r="M31" s="40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39">
        <v>0</v>
      </c>
    </row>
    <row r="32" spans="1:29" x14ac:dyDescent="0.25">
      <c r="A32" s="83"/>
      <c r="B32" s="86"/>
      <c r="C32" s="84" t="s">
        <v>101</v>
      </c>
      <c r="D32" s="84"/>
      <c r="E32" s="82" t="s">
        <v>75</v>
      </c>
      <c r="F32" s="82"/>
      <c r="G32" s="39">
        <v>10</v>
      </c>
      <c r="H32" s="39">
        <v>10</v>
      </c>
      <c r="I32" s="39">
        <v>10</v>
      </c>
      <c r="J32" s="39">
        <v>10</v>
      </c>
      <c r="K32" s="39">
        <v>10</v>
      </c>
      <c r="L32" s="39">
        <v>10</v>
      </c>
      <c r="M32" s="39">
        <v>10</v>
      </c>
      <c r="N32" s="40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</row>
    <row r="33" spans="1:29" x14ac:dyDescent="0.25">
      <c r="A33" s="83"/>
      <c r="B33" s="82" t="s">
        <v>44</v>
      </c>
      <c r="C33" s="84" t="s">
        <v>182</v>
      </c>
      <c r="D33" s="84"/>
      <c r="E33" s="82" t="s">
        <v>79</v>
      </c>
      <c r="F33" s="82"/>
      <c r="G33" s="39">
        <v>1</v>
      </c>
      <c r="H33" s="39">
        <v>2</v>
      </c>
      <c r="I33" s="39">
        <v>2</v>
      </c>
      <c r="J33" s="39">
        <v>2</v>
      </c>
      <c r="K33" s="39">
        <v>2</v>
      </c>
      <c r="L33" s="39">
        <v>2</v>
      </c>
      <c r="M33" s="39">
        <v>2</v>
      </c>
      <c r="N33" s="39">
        <v>2</v>
      </c>
      <c r="O33" s="40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</row>
    <row r="34" spans="1:29" x14ac:dyDescent="0.25">
      <c r="A34" s="83"/>
      <c r="B34" s="82"/>
      <c r="C34" s="82"/>
      <c r="D34" s="82"/>
      <c r="E34" s="82"/>
      <c r="F34" s="82"/>
      <c r="G34" s="39"/>
      <c r="H34" s="39"/>
      <c r="I34" s="39"/>
      <c r="J34" s="39"/>
      <c r="K34" s="39"/>
      <c r="L34" s="39"/>
      <c r="M34" s="39"/>
      <c r="N34" s="39"/>
      <c r="O34" s="41">
        <v>1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x14ac:dyDescent="0.25">
      <c r="A35" s="83"/>
      <c r="B35" s="82"/>
      <c r="C35" s="84" t="s">
        <v>168</v>
      </c>
      <c r="D35" s="84"/>
      <c r="E35" s="82" t="s">
        <v>79</v>
      </c>
      <c r="F35" s="82"/>
      <c r="G35" s="39">
        <v>3</v>
      </c>
      <c r="H35" s="39">
        <v>3</v>
      </c>
      <c r="I35" s="39">
        <v>3</v>
      </c>
      <c r="J35" s="39">
        <v>3</v>
      </c>
      <c r="K35" s="39">
        <v>3</v>
      </c>
      <c r="L35" s="39">
        <v>3</v>
      </c>
      <c r="M35" s="39">
        <v>3</v>
      </c>
      <c r="N35" s="39">
        <v>3</v>
      </c>
      <c r="O35" s="39">
        <v>3</v>
      </c>
      <c r="P35" s="40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</row>
    <row r="36" spans="1:29" x14ac:dyDescent="0.25">
      <c r="A36" s="83"/>
      <c r="B36" s="82"/>
      <c r="C36" s="84" t="s">
        <v>169</v>
      </c>
      <c r="D36" s="84"/>
      <c r="E36" s="82" t="s">
        <v>77</v>
      </c>
      <c r="F36" s="82"/>
      <c r="G36" s="39">
        <v>1</v>
      </c>
      <c r="H36" s="39">
        <v>2</v>
      </c>
      <c r="I36" s="39">
        <v>2</v>
      </c>
      <c r="J36" s="39">
        <v>2</v>
      </c>
      <c r="K36" s="39">
        <v>2</v>
      </c>
      <c r="L36" s="39">
        <v>2</v>
      </c>
      <c r="M36" s="39">
        <v>2</v>
      </c>
      <c r="N36" s="39">
        <v>2</v>
      </c>
      <c r="O36" s="40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</row>
    <row r="37" spans="1:29" x14ac:dyDescent="0.25">
      <c r="A37" s="83"/>
      <c r="B37" s="82"/>
      <c r="C37" s="82"/>
      <c r="D37" s="82"/>
      <c r="E37" s="82"/>
      <c r="F37" s="82"/>
      <c r="G37" s="39"/>
      <c r="H37" s="39"/>
      <c r="I37" s="39"/>
      <c r="J37" s="39"/>
      <c r="K37" s="39"/>
      <c r="L37" s="39"/>
      <c r="M37" s="39"/>
      <c r="N37" s="39"/>
      <c r="O37" s="41">
        <v>1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x14ac:dyDescent="0.25">
      <c r="A38" s="83"/>
      <c r="B38" s="82"/>
      <c r="C38" s="84" t="s">
        <v>170</v>
      </c>
      <c r="D38" s="84"/>
      <c r="E38" s="82" t="s">
        <v>77</v>
      </c>
      <c r="F38" s="82"/>
      <c r="G38" s="39">
        <v>3</v>
      </c>
      <c r="H38" s="39">
        <v>3</v>
      </c>
      <c r="I38" s="39">
        <v>3</v>
      </c>
      <c r="J38" s="39">
        <v>3</v>
      </c>
      <c r="K38" s="39">
        <v>3</v>
      </c>
      <c r="L38" s="39">
        <v>3</v>
      </c>
      <c r="M38" s="39">
        <v>3</v>
      </c>
      <c r="N38" s="39">
        <v>3</v>
      </c>
      <c r="O38" s="39">
        <v>3</v>
      </c>
      <c r="P38" s="39">
        <v>3</v>
      </c>
      <c r="Q38" s="40">
        <v>0</v>
      </c>
      <c r="R38" s="39">
        <v>3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39">
        <v>0</v>
      </c>
    </row>
    <row r="39" spans="1:29" x14ac:dyDescent="0.25">
      <c r="A39" s="83"/>
      <c r="B39" s="82"/>
      <c r="C39" s="84" t="s">
        <v>183</v>
      </c>
      <c r="D39" s="84"/>
      <c r="E39" s="82" t="s">
        <v>78</v>
      </c>
      <c r="F39" s="82"/>
      <c r="G39" s="39">
        <v>2</v>
      </c>
      <c r="H39" s="39">
        <v>2</v>
      </c>
      <c r="I39" s="39">
        <v>2</v>
      </c>
      <c r="J39" s="39">
        <v>2</v>
      </c>
      <c r="K39" s="39">
        <v>2</v>
      </c>
      <c r="L39" s="39">
        <v>2</v>
      </c>
      <c r="M39" s="39">
        <v>2</v>
      </c>
      <c r="N39" s="39">
        <v>2</v>
      </c>
      <c r="O39" s="39">
        <v>2</v>
      </c>
      <c r="P39" s="39">
        <v>2</v>
      </c>
      <c r="Q39" s="40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</row>
    <row r="40" spans="1:29" x14ac:dyDescent="0.25">
      <c r="A40" s="83"/>
      <c r="B40" s="82"/>
      <c r="C40" s="84" t="s">
        <v>171</v>
      </c>
      <c r="D40" s="84"/>
      <c r="E40" s="82" t="s">
        <v>78</v>
      </c>
      <c r="F40" s="82"/>
      <c r="G40" s="39">
        <v>3</v>
      </c>
      <c r="H40" s="39">
        <v>3</v>
      </c>
      <c r="I40" s="39">
        <v>3</v>
      </c>
      <c r="J40" s="39">
        <v>3</v>
      </c>
      <c r="K40" s="39">
        <v>3</v>
      </c>
      <c r="L40" s="39">
        <v>3</v>
      </c>
      <c r="M40" s="39">
        <v>3</v>
      </c>
      <c r="N40" s="39">
        <v>3</v>
      </c>
      <c r="O40" s="39">
        <v>3</v>
      </c>
      <c r="P40" s="39">
        <v>3</v>
      </c>
      <c r="Q40" s="39">
        <v>3</v>
      </c>
      <c r="R40" s="40">
        <v>0</v>
      </c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x14ac:dyDescent="0.25">
      <c r="A41" s="83"/>
      <c r="B41" s="82"/>
      <c r="C41" s="84" t="s">
        <v>184</v>
      </c>
      <c r="D41" s="84"/>
      <c r="E41" s="82" t="s">
        <v>76</v>
      </c>
      <c r="F41" s="82"/>
      <c r="G41" s="39">
        <v>2</v>
      </c>
      <c r="H41" s="39">
        <v>2</v>
      </c>
      <c r="I41" s="39">
        <v>2</v>
      </c>
      <c r="J41" s="39">
        <v>2</v>
      </c>
      <c r="K41" s="39">
        <v>2</v>
      </c>
      <c r="L41" s="39">
        <v>2</v>
      </c>
      <c r="M41" s="39">
        <v>2</v>
      </c>
      <c r="N41" s="39">
        <v>2</v>
      </c>
      <c r="O41" s="39">
        <v>2</v>
      </c>
      <c r="P41" s="39">
        <v>2</v>
      </c>
      <c r="Q41" s="39">
        <v>2</v>
      </c>
      <c r="R41" s="40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</row>
    <row r="42" spans="1:29" x14ac:dyDescent="0.25">
      <c r="A42" s="83"/>
      <c r="B42" s="82"/>
      <c r="C42" s="84" t="s">
        <v>172</v>
      </c>
      <c r="D42" s="84"/>
      <c r="E42" s="82" t="s">
        <v>76</v>
      </c>
      <c r="F42" s="82"/>
      <c r="G42" s="39">
        <v>3</v>
      </c>
      <c r="H42" s="39">
        <v>3</v>
      </c>
      <c r="I42" s="39">
        <v>3</v>
      </c>
      <c r="J42" s="39">
        <v>3</v>
      </c>
      <c r="K42" s="39">
        <v>3</v>
      </c>
      <c r="L42" s="39">
        <v>3</v>
      </c>
      <c r="M42" s="39">
        <v>3</v>
      </c>
      <c r="N42" s="39">
        <v>3</v>
      </c>
      <c r="O42" s="39">
        <v>3</v>
      </c>
      <c r="P42" s="39">
        <v>3</v>
      </c>
      <c r="Q42" s="39">
        <v>3</v>
      </c>
      <c r="R42" s="40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</row>
    <row r="43" spans="1:29" x14ac:dyDescent="0.25">
      <c r="A43" s="83"/>
      <c r="B43" s="82"/>
      <c r="C43" s="84" t="s">
        <v>185</v>
      </c>
      <c r="D43" s="84"/>
      <c r="E43" s="82" t="s">
        <v>80</v>
      </c>
      <c r="F43" s="82"/>
      <c r="G43" s="39">
        <v>2</v>
      </c>
      <c r="H43" s="39">
        <v>2</v>
      </c>
      <c r="I43" s="39">
        <v>2</v>
      </c>
      <c r="J43" s="39">
        <v>2</v>
      </c>
      <c r="K43" s="39">
        <v>2</v>
      </c>
      <c r="L43" s="39">
        <v>2</v>
      </c>
      <c r="M43" s="39">
        <v>2</v>
      </c>
      <c r="N43" s="39">
        <v>2</v>
      </c>
      <c r="O43" s="39">
        <v>2</v>
      </c>
      <c r="P43" s="39">
        <v>2</v>
      </c>
      <c r="Q43" s="39">
        <v>2</v>
      </c>
      <c r="R43" s="39">
        <v>2</v>
      </c>
      <c r="S43" s="40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</row>
    <row r="44" spans="1:29" x14ac:dyDescent="0.25">
      <c r="A44" s="83"/>
      <c r="B44" s="82"/>
      <c r="C44" s="84" t="s">
        <v>173</v>
      </c>
      <c r="D44" s="84"/>
      <c r="E44" s="82" t="s">
        <v>80</v>
      </c>
      <c r="F44" s="82"/>
      <c r="G44" s="39">
        <v>3</v>
      </c>
      <c r="H44" s="39">
        <v>3</v>
      </c>
      <c r="I44" s="39">
        <v>3</v>
      </c>
      <c r="J44" s="39">
        <v>3</v>
      </c>
      <c r="K44" s="39">
        <v>3</v>
      </c>
      <c r="L44" s="39">
        <v>3</v>
      </c>
      <c r="M44" s="39">
        <v>3</v>
      </c>
      <c r="N44" s="39">
        <v>3</v>
      </c>
      <c r="O44" s="39">
        <v>3</v>
      </c>
      <c r="P44" s="39">
        <v>3</v>
      </c>
      <c r="Q44" s="39">
        <v>3</v>
      </c>
      <c r="R44" s="39">
        <v>3</v>
      </c>
      <c r="S44" s="40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</row>
    <row r="45" spans="1:29" x14ac:dyDescent="0.25">
      <c r="A45" s="83"/>
      <c r="B45" s="82"/>
      <c r="C45" s="84" t="s">
        <v>186</v>
      </c>
      <c r="D45" s="84"/>
      <c r="E45" s="82" t="s">
        <v>79</v>
      </c>
      <c r="F45" s="82"/>
      <c r="G45" s="39">
        <v>2</v>
      </c>
      <c r="H45" s="39">
        <v>2</v>
      </c>
      <c r="I45" s="39">
        <v>2</v>
      </c>
      <c r="J45" s="39">
        <v>2</v>
      </c>
      <c r="K45" s="39">
        <v>2</v>
      </c>
      <c r="L45" s="39">
        <v>2</v>
      </c>
      <c r="M45" s="39">
        <v>2</v>
      </c>
      <c r="N45" s="39">
        <v>2</v>
      </c>
      <c r="O45" s="39">
        <v>2</v>
      </c>
      <c r="P45" s="39">
        <v>2</v>
      </c>
      <c r="Q45" s="39">
        <v>2</v>
      </c>
      <c r="R45" s="39">
        <v>2</v>
      </c>
      <c r="S45" s="40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</row>
    <row r="46" spans="1:29" x14ac:dyDescent="0.25">
      <c r="A46" s="83"/>
      <c r="B46" s="82"/>
      <c r="C46" s="82"/>
      <c r="D46" s="82"/>
      <c r="E46" s="82"/>
      <c r="F46" s="82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42">
        <v>1</v>
      </c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x14ac:dyDescent="0.25">
      <c r="A47" s="83"/>
      <c r="B47" s="82"/>
      <c r="C47" s="84" t="s">
        <v>174</v>
      </c>
      <c r="D47" s="84"/>
      <c r="E47" s="82" t="s">
        <v>80</v>
      </c>
      <c r="F47" s="82"/>
      <c r="G47" s="39">
        <v>3</v>
      </c>
      <c r="H47" s="39">
        <v>3</v>
      </c>
      <c r="I47" s="39">
        <v>3</v>
      </c>
      <c r="J47" s="39">
        <v>3</v>
      </c>
      <c r="K47" s="39">
        <v>3</v>
      </c>
      <c r="L47" s="39">
        <v>3</v>
      </c>
      <c r="M47" s="39">
        <v>3</v>
      </c>
      <c r="N47" s="39">
        <v>3</v>
      </c>
      <c r="O47" s="39">
        <v>3</v>
      </c>
      <c r="P47" s="39">
        <v>3</v>
      </c>
      <c r="Q47" s="39">
        <v>3</v>
      </c>
      <c r="R47" s="39">
        <v>3</v>
      </c>
      <c r="S47" s="40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</row>
    <row r="48" spans="1:29" x14ac:dyDescent="0.25">
      <c r="A48" s="83"/>
      <c r="B48" s="82"/>
      <c r="C48" s="84" t="s">
        <v>43</v>
      </c>
      <c r="D48" s="84"/>
      <c r="E48" s="82" t="s">
        <v>75</v>
      </c>
      <c r="F48" s="82"/>
      <c r="G48" s="39">
        <v>10</v>
      </c>
      <c r="H48" s="39">
        <v>10</v>
      </c>
      <c r="I48" s="39">
        <v>10</v>
      </c>
      <c r="J48" s="39">
        <v>10</v>
      </c>
      <c r="K48" s="39">
        <v>10</v>
      </c>
      <c r="L48" s="39">
        <v>10</v>
      </c>
      <c r="M48" s="39">
        <v>10</v>
      </c>
      <c r="N48" s="39">
        <v>10</v>
      </c>
      <c r="O48" s="39">
        <v>10</v>
      </c>
      <c r="P48" s="39">
        <v>10</v>
      </c>
      <c r="Q48" s="39">
        <v>10</v>
      </c>
      <c r="R48" s="39">
        <v>10</v>
      </c>
      <c r="S48" s="39">
        <v>10</v>
      </c>
      <c r="T48" s="40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</row>
    <row r="49" spans="1:29" x14ac:dyDescent="0.25">
      <c r="A49" s="83"/>
      <c r="B49" s="82" t="s">
        <v>53</v>
      </c>
      <c r="C49" s="84" t="s">
        <v>102</v>
      </c>
      <c r="D49" s="84"/>
      <c r="E49" s="82" t="s">
        <v>76</v>
      </c>
      <c r="F49" s="82"/>
      <c r="G49" s="39">
        <v>2</v>
      </c>
      <c r="H49" s="39">
        <v>2</v>
      </c>
      <c r="I49" s="39">
        <v>2</v>
      </c>
      <c r="J49" s="39">
        <v>2</v>
      </c>
      <c r="K49" s="39">
        <v>2</v>
      </c>
      <c r="L49" s="39">
        <v>2</v>
      </c>
      <c r="M49" s="39">
        <v>2</v>
      </c>
      <c r="N49" s="39">
        <v>2</v>
      </c>
      <c r="O49" s="39">
        <v>2</v>
      </c>
      <c r="P49" s="39">
        <v>2</v>
      </c>
      <c r="Q49" s="39">
        <v>2</v>
      </c>
      <c r="R49" s="39">
        <v>2</v>
      </c>
      <c r="S49" s="39">
        <v>2</v>
      </c>
      <c r="T49" s="39">
        <v>2</v>
      </c>
      <c r="U49" s="40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</row>
    <row r="50" spans="1:29" x14ac:dyDescent="0.25">
      <c r="A50" s="83"/>
      <c r="B50" s="82"/>
      <c r="C50" s="84" t="s">
        <v>103</v>
      </c>
      <c r="D50" s="84"/>
      <c r="E50" s="82" t="s">
        <v>79</v>
      </c>
      <c r="F50" s="82"/>
      <c r="G50" s="39">
        <v>2</v>
      </c>
      <c r="H50" s="39">
        <v>2</v>
      </c>
      <c r="I50" s="39">
        <v>2</v>
      </c>
      <c r="J50" s="39">
        <v>2</v>
      </c>
      <c r="K50" s="39">
        <v>2</v>
      </c>
      <c r="L50" s="39">
        <v>2</v>
      </c>
      <c r="M50" s="39">
        <v>2</v>
      </c>
      <c r="N50" s="39">
        <v>2</v>
      </c>
      <c r="O50" s="39">
        <v>2</v>
      </c>
      <c r="P50" s="39">
        <v>2</v>
      </c>
      <c r="Q50" s="39">
        <v>2</v>
      </c>
      <c r="R50" s="39">
        <v>2</v>
      </c>
      <c r="S50" s="39">
        <v>2</v>
      </c>
      <c r="T50" s="39">
        <v>2</v>
      </c>
      <c r="U50" s="40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39">
        <v>0</v>
      </c>
    </row>
    <row r="51" spans="1:29" x14ac:dyDescent="0.25">
      <c r="A51" s="83"/>
      <c r="B51" s="82"/>
      <c r="C51" s="84" t="s">
        <v>104</v>
      </c>
      <c r="D51" s="84"/>
      <c r="E51" s="82" t="s">
        <v>80</v>
      </c>
      <c r="F51" s="82"/>
      <c r="G51" s="39">
        <v>2</v>
      </c>
      <c r="H51" s="39">
        <v>2</v>
      </c>
      <c r="I51" s="39">
        <v>2</v>
      </c>
      <c r="J51" s="39">
        <v>2</v>
      </c>
      <c r="K51" s="39">
        <v>2</v>
      </c>
      <c r="L51" s="39">
        <v>2</v>
      </c>
      <c r="M51" s="39">
        <v>2</v>
      </c>
      <c r="N51" s="39">
        <v>2</v>
      </c>
      <c r="O51" s="39">
        <v>2</v>
      </c>
      <c r="P51" s="39">
        <v>2</v>
      </c>
      <c r="Q51" s="39">
        <v>2</v>
      </c>
      <c r="R51" s="39">
        <v>2</v>
      </c>
      <c r="S51" s="39">
        <v>2</v>
      </c>
      <c r="T51" s="39">
        <v>2</v>
      </c>
      <c r="U51" s="40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</row>
    <row r="52" spans="1:29" x14ac:dyDescent="0.25">
      <c r="A52" s="83"/>
      <c r="B52" s="82"/>
      <c r="C52" s="84" t="s">
        <v>105</v>
      </c>
      <c r="D52" s="84"/>
      <c r="E52" s="82" t="s">
        <v>77</v>
      </c>
      <c r="F52" s="82"/>
      <c r="G52" s="39">
        <v>2</v>
      </c>
      <c r="H52" s="39">
        <v>2</v>
      </c>
      <c r="I52" s="39">
        <v>2</v>
      </c>
      <c r="J52" s="39">
        <v>2</v>
      </c>
      <c r="K52" s="39">
        <v>2</v>
      </c>
      <c r="L52" s="39">
        <v>2</v>
      </c>
      <c r="M52" s="39">
        <v>2</v>
      </c>
      <c r="N52" s="39">
        <v>2</v>
      </c>
      <c r="O52" s="39">
        <v>2</v>
      </c>
      <c r="P52" s="39">
        <v>2</v>
      </c>
      <c r="Q52" s="39">
        <v>2</v>
      </c>
      <c r="R52" s="39">
        <v>2</v>
      </c>
      <c r="S52" s="39">
        <v>2</v>
      </c>
      <c r="T52" s="39">
        <v>2</v>
      </c>
      <c r="U52" s="40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</row>
    <row r="53" spans="1:29" x14ac:dyDescent="0.25">
      <c r="A53" s="83"/>
      <c r="B53" s="82"/>
      <c r="C53" s="84" t="s">
        <v>106</v>
      </c>
      <c r="D53" s="84"/>
      <c r="E53" s="82" t="s">
        <v>78</v>
      </c>
      <c r="F53" s="82"/>
      <c r="G53" s="39">
        <v>2</v>
      </c>
      <c r="H53" s="39">
        <v>2</v>
      </c>
      <c r="I53" s="39">
        <v>2</v>
      </c>
      <c r="J53" s="39">
        <v>2</v>
      </c>
      <c r="K53" s="39">
        <v>2</v>
      </c>
      <c r="L53" s="39">
        <v>2</v>
      </c>
      <c r="M53" s="39">
        <v>2</v>
      </c>
      <c r="N53" s="39">
        <v>2</v>
      </c>
      <c r="O53" s="39">
        <v>2</v>
      </c>
      <c r="P53" s="39">
        <v>2</v>
      </c>
      <c r="Q53" s="39">
        <v>2</v>
      </c>
      <c r="R53" s="39">
        <v>2</v>
      </c>
      <c r="S53" s="39">
        <v>2</v>
      </c>
      <c r="T53" s="39">
        <v>2</v>
      </c>
      <c r="U53" s="40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</row>
    <row r="54" spans="1:29" x14ac:dyDescent="0.25">
      <c r="A54" s="83"/>
      <c r="B54" s="82"/>
      <c r="C54" s="84" t="s">
        <v>107</v>
      </c>
      <c r="D54" s="84"/>
      <c r="E54" s="82" t="s">
        <v>76</v>
      </c>
      <c r="F54" s="82"/>
      <c r="G54" s="39">
        <v>2</v>
      </c>
      <c r="H54" s="39">
        <v>2</v>
      </c>
      <c r="I54" s="39">
        <v>2</v>
      </c>
      <c r="J54" s="39">
        <v>2</v>
      </c>
      <c r="K54" s="39">
        <v>2</v>
      </c>
      <c r="L54" s="39">
        <v>2</v>
      </c>
      <c r="M54" s="39">
        <v>2</v>
      </c>
      <c r="N54" s="39">
        <v>2</v>
      </c>
      <c r="O54" s="39">
        <v>2</v>
      </c>
      <c r="P54" s="39">
        <v>2</v>
      </c>
      <c r="Q54" s="39">
        <v>2</v>
      </c>
      <c r="R54" s="39">
        <v>2</v>
      </c>
      <c r="S54" s="39">
        <v>2</v>
      </c>
      <c r="T54" s="39">
        <v>2</v>
      </c>
      <c r="U54" s="40">
        <v>0</v>
      </c>
      <c r="V54" s="39">
        <v>0</v>
      </c>
      <c r="W54" s="39">
        <v>0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</row>
    <row r="55" spans="1:29" x14ac:dyDescent="0.25">
      <c r="A55" s="83"/>
      <c r="B55" s="82" t="s">
        <v>62</v>
      </c>
      <c r="C55" s="84" t="s">
        <v>108</v>
      </c>
      <c r="D55" s="84"/>
      <c r="E55" s="82" t="s">
        <v>79</v>
      </c>
      <c r="F55" s="82"/>
      <c r="G55" s="39">
        <v>2</v>
      </c>
      <c r="H55" s="39">
        <v>2</v>
      </c>
      <c r="I55" s="39">
        <v>2</v>
      </c>
      <c r="J55" s="39">
        <v>2</v>
      </c>
      <c r="K55" s="39">
        <v>2</v>
      </c>
      <c r="L55" s="39">
        <v>2</v>
      </c>
      <c r="M55" s="39">
        <v>2</v>
      </c>
      <c r="N55" s="39">
        <v>2</v>
      </c>
      <c r="O55" s="39">
        <v>2</v>
      </c>
      <c r="P55" s="39">
        <v>2</v>
      </c>
      <c r="Q55" s="39">
        <v>2</v>
      </c>
      <c r="R55" s="39">
        <v>2</v>
      </c>
      <c r="S55" s="39">
        <v>2</v>
      </c>
      <c r="T55" s="39">
        <v>2</v>
      </c>
      <c r="U55" s="39">
        <v>1</v>
      </c>
      <c r="V55" s="40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0</v>
      </c>
      <c r="AB55" s="39">
        <v>0</v>
      </c>
      <c r="AC55" s="39">
        <v>0</v>
      </c>
    </row>
    <row r="56" spans="1:29" x14ac:dyDescent="0.25">
      <c r="A56" s="83"/>
      <c r="B56" s="82"/>
      <c r="C56" s="84" t="s">
        <v>109</v>
      </c>
      <c r="D56" s="84"/>
      <c r="E56" s="82" t="s">
        <v>79</v>
      </c>
      <c r="F56" s="82"/>
      <c r="G56" s="39">
        <v>3</v>
      </c>
      <c r="H56" s="39">
        <v>2</v>
      </c>
      <c r="I56" s="39">
        <v>2</v>
      </c>
      <c r="J56" s="39">
        <v>2</v>
      </c>
      <c r="K56" s="39">
        <v>2</v>
      </c>
      <c r="L56" s="39">
        <v>2</v>
      </c>
      <c r="M56" s="39">
        <v>2</v>
      </c>
      <c r="N56" s="39">
        <v>2</v>
      </c>
      <c r="O56" s="39">
        <v>2</v>
      </c>
      <c r="P56" s="39">
        <v>2</v>
      </c>
      <c r="Q56" s="39">
        <v>2</v>
      </c>
      <c r="R56" s="39">
        <v>2</v>
      </c>
      <c r="S56" s="39">
        <v>2</v>
      </c>
      <c r="T56" s="39">
        <v>2</v>
      </c>
      <c r="U56" s="39">
        <v>1</v>
      </c>
      <c r="V56" s="40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</row>
    <row r="57" spans="1:29" x14ac:dyDescent="0.25">
      <c r="A57" s="83"/>
      <c r="B57" s="82"/>
      <c r="C57" s="82"/>
      <c r="D57" s="82"/>
      <c r="E57" s="82"/>
      <c r="F57" s="82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42">
        <v>1</v>
      </c>
      <c r="W57" s="39"/>
      <c r="X57" s="39"/>
      <c r="Y57" s="39"/>
      <c r="Z57" s="39"/>
      <c r="AA57" s="39"/>
      <c r="AB57" s="39"/>
      <c r="AC57" s="39"/>
    </row>
    <row r="58" spans="1:29" x14ac:dyDescent="0.25">
      <c r="A58" s="83"/>
      <c r="B58" s="82"/>
      <c r="C58" s="84" t="s">
        <v>110</v>
      </c>
      <c r="D58" s="84"/>
      <c r="E58" s="82" t="s">
        <v>78</v>
      </c>
      <c r="F58" s="82"/>
      <c r="G58" s="39">
        <v>2</v>
      </c>
      <c r="H58" s="39">
        <v>2</v>
      </c>
      <c r="I58" s="39">
        <v>2</v>
      </c>
      <c r="J58" s="39">
        <v>2</v>
      </c>
      <c r="K58" s="39">
        <v>2</v>
      </c>
      <c r="L58" s="39">
        <v>2</v>
      </c>
      <c r="M58" s="39">
        <v>2</v>
      </c>
      <c r="N58" s="39">
        <v>2</v>
      </c>
      <c r="O58" s="39">
        <v>2</v>
      </c>
      <c r="P58" s="39">
        <v>2</v>
      </c>
      <c r="Q58" s="39">
        <v>2</v>
      </c>
      <c r="R58" s="39">
        <v>2</v>
      </c>
      <c r="S58" s="39">
        <v>2</v>
      </c>
      <c r="T58" s="39">
        <v>2</v>
      </c>
      <c r="U58" s="39">
        <v>1</v>
      </c>
      <c r="V58" s="40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</row>
    <row r="59" spans="1:29" x14ac:dyDescent="0.25">
      <c r="A59" s="83"/>
      <c r="B59" s="82"/>
      <c r="C59" s="84" t="s">
        <v>111</v>
      </c>
      <c r="D59" s="84"/>
      <c r="E59" s="82" t="s">
        <v>76</v>
      </c>
      <c r="F59" s="82"/>
      <c r="G59" s="39">
        <v>2</v>
      </c>
      <c r="H59" s="39">
        <v>2</v>
      </c>
      <c r="I59" s="39">
        <v>2</v>
      </c>
      <c r="J59" s="39">
        <v>2</v>
      </c>
      <c r="K59" s="39">
        <v>2</v>
      </c>
      <c r="L59" s="39">
        <v>2</v>
      </c>
      <c r="M59" s="39">
        <v>2</v>
      </c>
      <c r="N59" s="39">
        <v>2</v>
      </c>
      <c r="O59" s="39">
        <v>2</v>
      </c>
      <c r="P59" s="39">
        <v>2</v>
      </c>
      <c r="Q59" s="39">
        <v>2</v>
      </c>
      <c r="R59" s="39">
        <v>2</v>
      </c>
      <c r="S59" s="39">
        <v>2</v>
      </c>
      <c r="T59" s="39">
        <v>2</v>
      </c>
      <c r="U59" s="39">
        <v>1</v>
      </c>
      <c r="V59" s="40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</row>
    <row r="60" spans="1:29" x14ac:dyDescent="0.25">
      <c r="A60" s="83"/>
      <c r="B60" s="82"/>
      <c r="C60" s="84" t="s">
        <v>112</v>
      </c>
      <c r="D60" s="84"/>
      <c r="E60" s="82" t="s">
        <v>80</v>
      </c>
      <c r="F60" s="82"/>
      <c r="G60" s="39">
        <v>2</v>
      </c>
      <c r="H60" s="39">
        <v>2</v>
      </c>
      <c r="I60" s="39">
        <v>2</v>
      </c>
      <c r="J60" s="39">
        <v>2</v>
      </c>
      <c r="K60" s="39">
        <v>2</v>
      </c>
      <c r="L60" s="39">
        <v>2</v>
      </c>
      <c r="M60" s="39">
        <v>2</v>
      </c>
      <c r="N60" s="39">
        <v>2</v>
      </c>
      <c r="O60" s="39">
        <v>2</v>
      </c>
      <c r="P60" s="39">
        <v>2</v>
      </c>
      <c r="Q60" s="39">
        <v>2</v>
      </c>
      <c r="R60" s="39">
        <v>2</v>
      </c>
      <c r="S60" s="39">
        <v>2</v>
      </c>
      <c r="T60" s="39">
        <v>2</v>
      </c>
      <c r="U60" s="39">
        <v>1</v>
      </c>
      <c r="V60" s="39">
        <v>1</v>
      </c>
      <c r="W60" s="40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</row>
    <row r="61" spans="1:29" x14ac:dyDescent="0.25">
      <c r="A61" s="83"/>
      <c r="B61" s="82"/>
      <c r="C61" s="84" t="s">
        <v>113</v>
      </c>
      <c r="D61" s="84"/>
      <c r="E61" s="82" t="s">
        <v>79</v>
      </c>
      <c r="F61" s="82"/>
      <c r="G61" s="39">
        <v>2</v>
      </c>
      <c r="H61" s="39">
        <v>2</v>
      </c>
      <c r="I61" s="39">
        <v>2</v>
      </c>
      <c r="J61" s="39">
        <v>2</v>
      </c>
      <c r="K61" s="39">
        <v>2</v>
      </c>
      <c r="L61" s="39">
        <v>2</v>
      </c>
      <c r="M61" s="39">
        <v>2</v>
      </c>
      <c r="N61" s="39">
        <v>2</v>
      </c>
      <c r="O61" s="39">
        <v>2</v>
      </c>
      <c r="P61" s="39">
        <v>2</v>
      </c>
      <c r="Q61" s="39">
        <v>2</v>
      </c>
      <c r="R61" s="39">
        <v>2</v>
      </c>
      <c r="S61" s="39">
        <v>2</v>
      </c>
      <c r="T61" s="39">
        <v>2</v>
      </c>
      <c r="U61" s="39">
        <v>1</v>
      </c>
      <c r="V61" s="39">
        <v>1</v>
      </c>
      <c r="W61" s="40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</row>
    <row r="62" spans="1:29" x14ac:dyDescent="0.25">
      <c r="A62" s="83"/>
      <c r="B62" s="82" t="s">
        <v>71</v>
      </c>
      <c r="C62" s="84" t="s">
        <v>114</v>
      </c>
      <c r="D62" s="84"/>
      <c r="E62" s="82" t="s">
        <v>79</v>
      </c>
      <c r="F62" s="82"/>
      <c r="G62" s="39">
        <v>1</v>
      </c>
      <c r="H62" s="39">
        <v>1</v>
      </c>
      <c r="I62" s="39">
        <v>1</v>
      </c>
      <c r="J62" s="39">
        <v>1</v>
      </c>
      <c r="K62" s="39">
        <v>1</v>
      </c>
      <c r="L62" s="39">
        <v>1</v>
      </c>
      <c r="M62" s="39">
        <v>1</v>
      </c>
      <c r="N62" s="39">
        <v>1</v>
      </c>
      <c r="O62" s="39">
        <v>1</v>
      </c>
      <c r="P62" s="39">
        <v>1</v>
      </c>
      <c r="Q62" s="39">
        <v>1</v>
      </c>
      <c r="R62" s="39">
        <v>1</v>
      </c>
      <c r="S62" s="39">
        <v>1</v>
      </c>
      <c r="T62" s="39">
        <v>1</v>
      </c>
      <c r="U62" s="39">
        <v>1</v>
      </c>
      <c r="V62" s="39">
        <v>1</v>
      </c>
      <c r="W62" s="39">
        <v>1</v>
      </c>
      <c r="X62" s="40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</row>
    <row r="63" spans="1:29" x14ac:dyDescent="0.25">
      <c r="A63" s="83"/>
      <c r="B63" s="82"/>
      <c r="C63" s="84" t="s">
        <v>115</v>
      </c>
      <c r="D63" s="84"/>
      <c r="E63" s="82" t="s">
        <v>80</v>
      </c>
      <c r="F63" s="82"/>
      <c r="G63" s="39">
        <v>1</v>
      </c>
      <c r="H63" s="39">
        <v>1</v>
      </c>
      <c r="I63" s="39">
        <v>1</v>
      </c>
      <c r="J63" s="39">
        <v>1</v>
      </c>
      <c r="K63" s="39">
        <v>1</v>
      </c>
      <c r="L63" s="39">
        <v>1</v>
      </c>
      <c r="M63" s="39">
        <v>1</v>
      </c>
      <c r="N63" s="39">
        <v>1</v>
      </c>
      <c r="O63" s="39">
        <v>1</v>
      </c>
      <c r="P63" s="39">
        <v>1</v>
      </c>
      <c r="Q63" s="39">
        <v>1</v>
      </c>
      <c r="R63" s="39">
        <v>1</v>
      </c>
      <c r="S63" s="39">
        <v>1</v>
      </c>
      <c r="T63" s="39">
        <v>1</v>
      </c>
      <c r="U63" s="39">
        <v>1</v>
      </c>
      <c r="V63" s="39">
        <v>1</v>
      </c>
      <c r="W63" s="39">
        <v>1</v>
      </c>
      <c r="X63" s="39">
        <v>1</v>
      </c>
      <c r="Y63" s="40">
        <v>0</v>
      </c>
      <c r="Z63" s="39">
        <v>0</v>
      </c>
      <c r="AA63" s="39">
        <v>0</v>
      </c>
      <c r="AB63" s="39">
        <v>0</v>
      </c>
      <c r="AC63" s="39">
        <v>0</v>
      </c>
    </row>
    <row r="64" spans="1:29" x14ac:dyDescent="0.25">
      <c r="A64" s="83"/>
      <c r="B64" s="82"/>
      <c r="C64" s="84" t="s">
        <v>116</v>
      </c>
      <c r="D64" s="84"/>
      <c r="E64" s="82" t="s">
        <v>77</v>
      </c>
      <c r="F64" s="82"/>
      <c r="G64" s="39">
        <v>1</v>
      </c>
      <c r="H64" s="39">
        <v>1</v>
      </c>
      <c r="I64" s="39">
        <v>1</v>
      </c>
      <c r="J64" s="39">
        <v>1</v>
      </c>
      <c r="K64" s="39">
        <v>1</v>
      </c>
      <c r="L64" s="39">
        <v>1</v>
      </c>
      <c r="M64" s="39">
        <v>1</v>
      </c>
      <c r="N64" s="39">
        <v>1</v>
      </c>
      <c r="O64" s="39">
        <v>1</v>
      </c>
      <c r="P64" s="39">
        <v>1</v>
      </c>
      <c r="Q64" s="39">
        <v>1</v>
      </c>
      <c r="R64" s="39">
        <v>1</v>
      </c>
      <c r="S64" s="39">
        <v>1</v>
      </c>
      <c r="T64" s="39">
        <v>1</v>
      </c>
      <c r="U64" s="39">
        <v>1</v>
      </c>
      <c r="V64" s="39">
        <v>1</v>
      </c>
      <c r="W64" s="39">
        <v>1</v>
      </c>
      <c r="X64" s="39">
        <v>1</v>
      </c>
      <c r="Y64" s="39">
        <v>1</v>
      </c>
      <c r="Z64" s="40">
        <v>0</v>
      </c>
      <c r="AA64" s="39">
        <v>0</v>
      </c>
      <c r="AB64" s="39">
        <v>0</v>
      </c>
      <c r="AC64" s="39">
        <v>0</v>
      </c>
    </row>
    <row r="65" spans="1:29" x14ac:dyDescent="0.25">
      <c r="A65" s="83"/>
      <c r="B65" s="82"/>
      <c r="C65" s="84" t="s">
        <v>117</v>
      </c>
      <c r="D65" s="84"/>
      <c r="E65" s="82" t="s">
        <v>78</v>
      </c>
      <c r="F65" s="82"/>
      <c r="G65" s="39">
        <v>1</v>
      </c>
      <c r="H65" s="39">
        <v>1</v>
      </c>
      <c r="I65" s="39">
        <v>1</v>
      </c>
      <c r="J65" s="39">
        <v>1</v>
      </c>
      <c r="K65" s="39">
        <v>1</v>
      </c>
      <c r="L65" s="39">
        <v>1</v>
      </c>
      <c r="M65" s="39">
        <v>1</v>
      </c>
      <c r="N65" s="39">
        <v>1</v>
      </c>
      <c r="O65" s="39">
        <v>1</v>
      </c>
      <c r="P65" s="39">
        <v>1</v>
      </c>
      <c r="Q65" s="39">
        <v>1</v>
      </c>
      <c r="R65" s="39">
        <v>1</v>
      </c>
      <c r="S65" s="39">
        <v>1</v>
      </c>
      <c r="T65" s="39">
        <v>1</v>
      </c>
      <c r="U65" s="39">
        <v>1</v>
      </c>
      <c r="V65" s="39">
        <v>1</v>
      </c>
      <c r="W65" s="39">
        <v>1</v>
      </c>
      <c r="X65" s="39">
        <v>1</v>
      </c>
      <c r="Y65" s="39">
        <v>1</v>
      </c>
      <c r="Z65" s="39">
        <v>1</v>
      </c>
      <c r="AA65" s="40">
        <v>0</v>
      </c>
      <c r="AB65" s="39">
        <v>0</v>
      </c>
      <c r="AC65" s="39">
        <v>0</v>
      </c>
    </row>
    <row r="66" spans="1:29" x14ac:dyDescent="0.25">
      <c r="A66" s="83"/>
      <c r="B66" s="82"/>
      <c r="C66" s="84" t="s">
        <v>118</v>
      </c>
      <c r="D66" s="84"/>
      <c r="E66" s="82" t="s">
        <v>76</v>
      </c>
      <c r="F66" s="82"/>
      <c r="G66" s="39">
        <v>1</v>
      </c>
      <c r="H66" s="39">
        <v>1</v>
      </c>
      <c r="I66" s="39">
        <v>1</v>
      </c>
      <c r="J66" s="39">
        <v>1</v>
      </c>
      <c r="K66" s="39">
        <v>1</v>
      </c>
      <c r="L66" s="39">
        <v>1</v>
      </c>
      <c r="M66" s="39">
        <v>1</v>
      </c>
      <c r="N66" s="39">
        <v>1</v>
      </c>
      <c r="O66" s="39">
        <v>1</v>
      </c>
      <c r="P66" s="39">
        <v>1</v>
      </c>
      <c r="Q66" s="39">
        <v>1</v>
      </c>
      <c r="R66" s="39">
        <v>1</v>
      </c>
      <c r="S66" s="39">
        <v>1</v>
      </c>
      <c r="T66" s="39">
        <v>1</v>
      </c>
      <c r="U66" s="39">
        <v>1</v>
      </c>
      <c r="V66" s="39">
        <v>1</v>
      </c>
      <c r="W66" s="39">
        <v>1</v>
      </c>
      <c r="X66" s="39">
        <v>1</v>
      </c>
      <c r="Y66" s="39">
        <v>1</v>
      </c>
      <c r="Z66" s="39">
        <v>1</v>
      </c>
      <c r="AA66" s="40">
        <v>0</v>
      </c>
      <c r="AB66" s="39">
        <v>0</v>
      </c>
      <c r="AC66" s="39">
        <v>0</v>
      </c>
    </row>
    <row r="67" spans="1:29" x14ac:dyDescent="0.25">
      <c r="A67" s="83"/>
      <c r="B67" s="82"/>
      <c r="C67" s="84" t="s">
        <v>119</v>
      </c>
      <c r="D67" s="84"/>
      <c r="E67" s="82" t="s">
        <v>79</v>
      </c>
      <c r="F67" s="82"/>
      <c r="G67" s="39">
        <v>1</v>
      </c>
      <c r="H67" s="39">
        <v>1</v>
      </c>
      <c r="I67" s="39">
        <v>1</v>
      </c>
      <c r="J67" s="39">
        <v>1</v>
      </c>
      <c r="K67" s="39">
        <v>1</v>
      </c>
      <c r="L67" s="39">
        <v>1</v>
      </c>
      <c r="M67" s="39">
        <v>1</v>
      </c>
      <c r="N67" s="39">
        <v>1</v>
      </c>
      <c r="O67" s="39">
        <v>1</v>
      </c>
      <c r="P67" s="39">
        <v>1</v>
      </c>
      <c r="Q67" s="39">
        <v>1</v>
      </c>
      <c r="R67" s="39">
        <v>1</v>
      </c>
      <c r="S67" s="39">
        <v>1</v>
      </c>
      <c r="T67" s="39">
        <v>1</v>
      </c>
      <c r="U67" s="39">
        <v>1</v>
      </c>
      <c r="V67" s="39">
        <v>1</v>
      </c>
      <c r="W67" s="39">
        <v>1</v>
      </c>
      <c r="X67" s="39">
        <v>1</v>
      </c>
      <c r="Y67" s="39">
        <v>1</v>
      </c>
      <c r="Z67" s="39">
        <v>1</v>
      </c>
      <c r="AA67" s="40">
        <v>0</v>
      </c>
      <c r="AB67" s="39">
        <v>0</v>
      </c>
      <c r="AC67" s="39">
        <v>0</v>
      </c>
    </row>
    <row r="68" spans="1:29" x14ac:dyDescent="0.25">
      <c r="A68" s="83"/>
      <c r="B68" s="82" t="s">
        <v>200</v>
      </c>
      <c r="C68" s="85" t="s">
        <v>204</v>
      </c>
      <c r="D68" s="85"/>
      <c r="E68" s="82" t="s">
        <v>75</v>
      </c>
      <c r="F68" s="82"/>
      <c r="G68" s="39">
        <v>5</v>
      </c>
      <c r="H68" s="39">
        <v>5</v>
      </c>
      <c r="I68" s="39">
        <v>5</v>
      </c>
      <c r="J68" s="39">
        <v>5</v>
      </c>
      <c r="K68" s="39">
        <v>5</v>
      </c>
      <c r="L68" s="39">
        <v>5</v>
      </c>
      <c r="M68" s="39">
        <v>5</v>
      </c>
      <c r="N68" s="39">
        <v>5</v>
      </c>
      <c r="O68" s="39">
        <v>5</v>
      </c>
      <c r="P68" s="39">
        <v>5</v>
      </c>
      <c r="Q68" s="39">
        <v>5</v>
      </c>
      <c r="R68" s="39">
        <v>5</v>
      </c>
      <c r="S68" s="39">
        <v>5</v>
      </c>
      <c r="T68" s="39">
        <v>5</v>
      </c>
      <c r="U68" s="39">
        <v>5</v>
      </c>
      <c r="V68" s="39">
        <v>5</v>
      </c>
      <c r="W68" s="39">
        <v>5</v>
      </c>
      <c r="X68" s="39">
        <v>5</v>
      </c>
      <c r="Y68" s="39">
        <v>5</v>
      </c>
      <c r="Z68" s="39">
        <v>5</v>
      </c>
      <c r="AA68" s="39">
        <v>5</v>
      </c>
      <c r="AB68" s="40">
        <v>0</v>
      </c>
      <c r="AC68" s="39">
        <v>0</v>
      </c>
    </row>
    <row r="69" spans="1:29" x14ac:dyDescent="0.25">
      <c r="A69" s="83"/>
      <c r="B69" s="82"/>
      <c r="C69" s="85" t="s">
        <v>205</v>
      </c>
      <c r="D69" s="85"/>
      <c r="E69" s="82" t="s">
        <v>75</v>
      </c>
      <c r="F69" s="82"/>
      <c r="G69" s="39">
        <v>5</v>
      </c>
      <c r="H69" s="39">
        <v>5</v>
      </c>
      <c r="I69" s="39">
        <v>5</v>
      </c>
      <c r="J69" s="39">
        <v>5</v>
      </c>
      <c r="K69" s="39">
        <v>5</v>
      </c>
      <c r="L69" s="39">
        <v>5</v>
      </c>
      <c r="M69" s="39">
        <v>5</v>
      </c>
      <c r="N69" s="39">
        <v>5</v>
      </c>
      <c r="O69" s="39">
        <v>5</v>
      </c>
      <c r="P69" s="39">
        <v>5</v>
      </c>
      <c r="Q69" s="39">
        <v>5</v>
      </c>
      <c r="R69" s="39">
        <v>5</v>
      </c>
      <c r="S69" s="39">
        <v>5</v>
      </c>
      <c r="T69" s="39">
        <v>5</v>
      </c>
      <c r="U69" s="39">
        <v>5</v>
      </c>
      <c r="V69" s="39">
        <v>5</v>
      </c>
      <c r="W69" s="39">
        <v>5</v>
      </c>
      <c r="X69" s="39">
        <v>5</v>
      </c>
      <c r="Y69" s="39">
        <v>5</v>
      </c>
      <c r="Z69" s="39">
        <v>5</v>
      </c>
      <c r="AA69" s="39">
        <v>5</v>
      </c>
      <c r="AB69" s="39">
        <v>5</v>
      </c>
      <c r="AC69" s="40">
        <v>0</v>
      </c>
    </row>
    <row r="70" spans="1:29" x14ac:dyDescent="0.25">
      <c r="A70" s="83"/>
      <c r="B70" s="81" t="s">
        <v>12</v>
      </c>
      <c r="C70" s="81"/>
      <c r="D70" s="81"/>
      <c r="E70" s="91" t="s">
        <v>10</v>
      </c>
      <c r="F70" s="91"/>
      <c r="G70" s="92">
        <f>SUM(G16:G69)</f>
        <v>141</v>
      </c>
      <c r="H70" s="92"/>
      <c r="I70" s="39">
        <f>I71</f>
        <v>126</v>
      </c>
      <c r="J70" s="39">
        <f t="shared" ref="J70:AC70" si="0">J71</f>
        <v>124</v>
      </c>
      <c r="K70" s="39">
        <f t="shared" si="0"/>
        <v>112</v>
      </c>
      <c r="L70" s="39">
        <f t="shared" si="0"/>
        <v>102</v>
      </c>
      <c r="M70" s="39">
        <f t="shared" si="0"/>
        <v>90</v>
      </c>
      <c r="N70" s="39">
        <f t="shared" si="0"/>
        <v>80</v>
      </c>
      <c r="O70" s="39">
        <f>O71-O34-O37</f>
        <v>74</v>
      </c>
      <c r="P70" s="39">
        <f t="shared" si="0"/>
        <v>73</v>
      </c>
      <c r="Q70" s="39">
        <f t="shared" si="0"/>
        <v>68</v>
      </c>
      <c r="R70" s="39">
        <f t="shared" si="0"/>
        <v>63</v>
      </c>
      <c r="S70" s="39">
        <f>S71+S46</f>
        <v>51</v>
      </c>
      <c r="T70" s="39">
        <f t="shared" si="0"/>
        <v>40</v>
      </c>
      <c r="U70" s="39">
        <f t="shared" si="0"/>
        <v>22</v>
      </c>
      <c r="V70" s="39">
        <f>V71+V57</f>
        <v>19</v>
      </c>
      <c r="W70" s="39">
        <f t="shared" si="0"/>
        <v>16</v>
      </c>
      <c r="X70" s="39">
        <f t="shared" si="0"/>
        <v>15</v>
      </c>
      <c r="Y70" s="39">
        <f t="shared" si="0"/>
        <v>14</v>
      </c>
      <c r="Z70" s="39">
        <f t="shared" si="0"/>
        <v>13</v>
      </c>
      <c r="AA70" s="39">
        <f t="shared" si="0"/>
        <v>10</v>
      </c>
      <c r="AB70" s="39">
        <f t="shared" si="0"/>
        <v>5</v>
      </c>
      <c r="AC70" s="39">
        <f t="shared" si="0"/>
        <v>0</v>
      </c>
    </row>
    <row r="71" spans="1:29" x14ac:dyDescent="0.25">
      <c r="A71" s="83"/>
      <c r="B71" s="81"/>
      <c r="C71" s="81"/>
      <c r="D71" s="81"/>
      <c r="E71" s="91" t="s">
        <v>11</v>
      </c>
      <c r="F71" s="91"/>
      <c r="G71" s="92">
        <f>SUM(H16:H69)</f>
        <v>142</v>
      </c>
      <c r="H71" s="92"/>
      <c r="I71" s="39">
        <f>SUM(I16:I69)</f>
        <v>126</v>
      </c>
      <c r="J71" s="39">
        <f t="shared" ref="J71:AC71" si="1">SUM(J16:J69)</f>
        <v>124</v>
      </c>
      <c r="K71" s="39">
        <f t="shared" si="1"/>
        <v>112</v>
      </c>
      <c r="L71" s="39">
        <f t="shared" si="1"/>
        <v>102</v>
      </c>
      <c r="M71" s="39">
        <f t="shared" si="1"/>
        <v>90</v>
      </c>
      <c r="N71" s="39">
        <f t="shared" si="1"/>
        <v>80</v>
      </c>
      <c r="O71" s="39">
        <f>SUM(O16:O69)-O34-O37</f>
        <v>76</v>
      </c>
      <c r="P71" s="39">
        <f t="shared" si="1"/>
        <v>73</v>
      </c>
      <c r="Q71" s="39">
        <f t="shared" si="1"/>
        <v>68</v>
      </c>
      <c r="R71" s="39">
        <f t="shared" si="1"/>
        <v>63</v>
      </c>
      <c r="S71" s="39">
        <f>SUM(S16:S69)-S46</f>
        <v>50</v>
      </c>
      <c r="T71" s="39">
        <f>SUM(T16:T69)</f>
        <v>40</v>
      </c>
      <c r="U71" s="39">
        <f t="shared" si="1"/>
        <v>22</v>
      </c>
      <c r="V71" s="39">
        <f>SUM(V16:V69)-V57</f>
        <v>18</v>
      </c>
      <c r="W71" s="39">
        <f t="shared" si="1"/>
        <v>16</v>
      </c>
      <c r="X71" s="39">
        <f t="shared" si="1"/>
        <v>15</v>
      </c>
      <c r="Y71" s="39">
        <f t="shared" si="1"/>
        <v>14</v>
      </c>
      <c r="Z71" s="39">
        <f t="shared" si="1"/>
        <v>13</v>
      </c>
      <c r="AA71" s="39">
        <f t="shared" si="1"/>
        <v>10</v>
      </c>
      <c r="AB71" s="39">
        <f t="shared" si="1"/>
        <v>5</v>
      </c>
      <c r="AC71" s="39">
        <f t="shared" si="1"/>
        <v>0</v>
      </c>
    </row>
  </sheetData>
  <mergeCells count="122">
    <mergeCell ref="C21:D21"/>
    <mergeCell ref="E21:F21"/>
    <mergeCell ref="A16:A71"/>
    <mergeCell ref="B68:B69"/>
    <mergeCell ref="C68:D68"/>
    <mergeCell ref="E68:F68"/>
    <mergeCell ref="C69:D69"/>
    <mergeCell ref="E69:F69"/>
    <mergeCell ref="B70:D71"/>
    <mergeCell ref="E70:F70"/>
    <mergeCell ref="E71:F71"/>
    <mergeCell ref="E66:F66"/>
    <mergeCell ref="C67:D67"/>
    <mergeCell ref="E67:F67"/>
    <mergeCell ref="B62:B67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0:F60"/>
    <mergeCell ref="C61:D61"/>
    <mergeCell ref="E61:F61"/>
    <mergeCell ref="B55:B61"/>
    <mergeCell ref="C55:D55"/>
    <mergeCell ref="E55:F55"/>
    <mergeCell ref="C56:D56"/>
    <mergeCell ref="E56:F56"/>
    <mergeCell ref="C58:D58"/>
    <mergeCell ref="E58:F58"/>
    <mergeCell ref="C59:D59"/>
    <mergeCell ref="E59:F59"/>
    <mergeCell ref="C60:D60"/>
    <mergeCell ref="E53:F53"/>
    <mergeCell ref="C54:D54"/>
    <mergeCell ref="E54:F54"/>
    <mergeCell ref="B49:B54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C45:D45"/>
    <mergeCell ref="E45:F45"/>
    <mergeCell ref="C47:D47"/>
    <mergeCell ref="E47:F47"/>
    <mergeCell ref="C41:D41"/>
    <mergeCell ref="E41:F41"/>
    <mergeCell ref="C42:D42"/>
    <mergeCell ref="E42:F42"/>
    <mergeCell ref="C43:D43"/>
    <mergeCell ref="E43:F43"/>
    <mergeCell ref="B33:B48"/>
    <mergeCell ref="C33:D33"/>
    <mergeCell ref="E33:F33"/>
    <mergeCell ref="C35:D35"/>
    <mergeCell ref="E35:F35"/>
    <mergeCell ref="C36:D36"/>
    <mergeCell ref="E29:F29"/>
    <mergeCell ref="C30:D30"/>
    <mergeCell ref="E30:F30"/>
    <mergeCell ref="C31:D31"/>
    <mergeCell ref="E31:F31"/>
    <mergeCell ref="E36:F36"/>
    <mergeCell ref="C38:D38"/>
    <mergeCell ref="E38:F38"/>
    <mergeCell ref="C39:D39"/>
    <mergeCell ref="E39:F39"/>
    <mergeCell ref="C40:D40"/>
    <mergeCell ref="E40:F40"/>
    <mergeCell ref="C32:D32"/>
    <mergeCell ref="E32:F32"/>
    <mergeCell ref="C48:D48"/>
    <mergeCell ref="E48:F48"/>
    <mergeCell ref="C44:D44"/>
    <mergeCell ref="E44:F44"/>
    <mergeCell ref="E22:F22"/>
    <mergeCell ref="C23:D23"/>
    <mergeCell ref="E23:F23"/>
    <mergeCell ref="C24:D24"/>
    <mergeCell ref="C25:D25"/>
    <mergeCell ref="E25:F25"/>
    <mergeCell ref="B26:B32"/>
    <mergeCell ref="C26:D26"/>
    <mergeCell ref="E26:F26"/>
    <mergeCell ref="C27:D27"/>
    <mergeCell ref="E27:F27"/>
    <mergeCell ref="C28:D28"/>
    <mergeCell ref="E28:F28"/>
    <mergeCell ref="C29:D29"/>
    <mergeCell ref="C15:D15"/>
    <mergeCell ref="B16:D16"/>
    <mergeCell ref="E16:F16"/>
    <mergeCell ref="B17:D17"/>
    <mergeCell ref="E17:F17"/>
    <mergeCell ref="B18:D18"/>
    <mergeCell ref="E18:F18"/>
    <mergeCell ref="G70:H70"/>
    <mergeCell ref="G71:H71"/>
    <mergeCell ref="C34:D34"/>
    <mergeCell ref="E34:F34"/>
    <mergeCell ref="E46:F46"/>
    <mergeCell ref="E37:F37"/>
    <mergeCell ref="C37:D37"/>
    <mergeCell ref="C46:D46"/>
    <mergeCell ref="E57:F57"/>
    <mergeCell ref="C57:D57"/>
    <mergeCell ref="E24:F24"/>
    <mergeCell ref="B19:B25"/>
    <mergeCell ref="C19:D19"/>
    <mergeCell ref="E19:F19"/>
    <mergeCell ref="C20:D20"/>
    <mergeCell ref="E20:F20"/>
    <mergeCell ref="C22:D22"/>
  </mergeCells>
  <pageMargins left="0.7" right="0.7" top="0.75" bottom="0.75" header="0.3" footer="0.3"/>
  <pageSetup scale="4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3"/>
  <sheetViews>
    <sheetView topLeftCell="A86" zoomScale="85" zoomScaleNormal="85" workbookViewId="0">
      <selection activeCell="E73" sqref="E73:F73"/>
    </sheetView>
  </sheetViews>
  <sheetFormatPr defaultRowHeight="16.8" x14ac:dyDescent="0.3"/>
  <cols>
    <col min="1" max="1" width="8.88671875" style="54"/>
    <col min="2" max="2" width="19.33203125" style="54" bestFit="1" customWidth="1"/>
    <col min="3" max="3" width="82.33203125" style="54" customWidth="1"/>
    <col min="4" max="5" width="8.88671875" style="54"/>
    <col min="6" max="6" width="13.109375" style="54" bestFit="1" customWidth="1"/>
    <col min="7" max="7" width="9" style="54" bestFit="1" customWidth="1"/>
    <col min="8" max="8" width="4.21875" style="54" bestFit="1" customWidth="1"/>
    <col min="9" max="23" width="4.6640625" style="54" bestFit="1" customWidth="1"/>
    <col min="24" max="16384" width="8.88671875" style="54"/>
  </cols>
  <sheetData>
    <row r="1" spans="1:23" ht="34.200000000000003" thickBot="1" x14ac:dyDescent="0.35">
      <c r="A1" s="49" t="s">
        <v>0</v>
      </c>
      <c r="B1" s="49"/>
      <c r="C1" s="50" t="s">
        <v>85</v>
      </c>
      <c r="D1" s="51"/>
      <c r="E1" s="52"/>
      <c r="F1" s="53" t="s">
        <v>82</v>
      </c>
    </row>
    <row r="2" spans="1:23" ht="17.399999999999999" thickBot="1" x14ac:dyDescent="0.35">
      <c r="A2" s="49" t="s">
        <v>1</v>
      </c>
      <c r="B2" s="49"/>
      <c r="C2" s="55" t="s">
        <v>120</v>
      </c>
      <c r="D2" s="51"/>
      <c r="E2" s="56"/>
      <c r="F2" s="57" t="s">
        <v>83</v>
      </c>
    </row>
    <row r="3" spans="1:23" ht="17.399999999999999" thickBot="1" x14ac:dyDescent="0.35">
      <c r="A3" s="49" t="s">
        <v>4</v>
      </c>
      <c r="B3" s="49"/>
      <c r="C3" s="58">
        <v>46143</v>
      </c>
      <c r="D3" s="51"/>
      <c r="E3" s="59"/>
      <c r="F3" s="57" t="s">
        <v>3</v>
      </c>
    </row>
    <row r="4" spans="1:23" ht="22.2" customHeight="1" thickBot="1" x14ac:dyDescent="0.35">
      <c r="A4" s="49" t="s">
        <v>6</v>
      </c>
      <c r="B4" s="49"/>
      <c r="C4" s="58">
        <v>46157</v>
      </c>
      <c r="D4" s="51"/>
      <c r="E4" s="60"/>
      <c r="F4" s="57" t="s">
        <v>84</v>
      </c>
    </row>
    <row r="5" spans="1:23" ht="19.2" customHeight="1" thickBot="1" x14ac:dyDescent="0.35">
      <c r="A5" s="51"/>
      <c r="B5" s="51"/>
      <c r="C5" s="51"/>
      <c r="D5" s="51"/>
      <c r="E5" s="61"/>
      <c r="F5" s="62" t="s">
        <v>5</v>
      </c>
    </row>
    <row r="6" spans="1:23" ht="17.399999999999999" thickBot="1" x14ac:dyDescent="0.35">
      <c r="B6" s="63" t="s">
        <v>7</v>
      </c>
      <c r="C6" s="63"/>
      <c r="D6" s="63"/>
      <c r="E6" s="63"/>
    </row>
    <row r="7" spans="1:23" ht="17.399999999999999" thickBot="1" x14ac:dyDescent="0.35">
      <c r="B7" s="64" t="s">
        <v>8</v>
      </c>
      <c r="C7" s="64" t="s">
        <v>9</v>
      </c>
      <c r="D7" s="64" t="s">
        <v>10</v>
      </c>
      <c r="E7" s="64" t="s">
        <v>11</v>
      </c>
    </row>
    <row r="8" spans="1:23" ht="17.399999999999999" thickBot="1" x14ac:dyDescent="0.35">
      <c r="B8" s="65">
        <v>1</v>
      </c>
      <c r="C8" s="66" t="s">
        <v>13</v>
      </c>
      <c r="D8" s="66">
        <f ca="1">SUMIF(E16:$F$71,"Khoa",$G$16:$G$71)+SUMIF(E16:$F$71,"All Team",$G$16:$G$71)/5+SUMIF(E16:$F$71,"Khoa,Khánh,Duyên",$G$16:$G$71)/3</f>
        <v>30</v>
      </c>
      <c r="E8" s="66">
        <f ca="1">SUMIF($E$16:$F$71,"Khoa",$G$16:$G$71)+SUMIF($E$16:$F$71,"All Team",$G$16:$G$71)/5+SUMIF($E$16:$F$71,"Khoa,Khánh,Duyên",$G$16:$G$71)/3</f>
        <v>30</v>
      </c>
    </row>
    <row r="9" spans="1:23" ht="17.399999999999999" thickBot="1" x14ac:dyDescent="0.35">
      <c r="B9" s="65">
        <v>2</v>
      </c>
      <c r="C9" s="66" t="s">
        <v>14</v>
      </c>
      <c r="D9" s="66">
        <f ca="1">SUMIF(E16:$F$71,"Khánh",$G$16:$G$71)+SUMIF(E16:$F$71,"All Team",$G$16:$G$71)/5+SUMIF(E16:$F$71,"Khoa,Khánh,Duyên",$G$16:$G$71)/3+SUMIF(E16:$F$71,"Khánh,Duyên",$G$16:$G$71)/3</f>
        <v>28</v>
      </c>
      <c r="E9" s="66">
        <f ca="1">SUMIF($E$16:$F$71,"Khánh",$G$16:$G$71)+SUMIF($E$16:$F$71,"All Team",$G$16:$G$71)/5+SUMIF($E$16:$F$71,"Khoa,Khánh,Duyên",$G$16:$G$71)/3+SUMIF($E$16:$F$71,"Khánh,Duyên",$G$16:$G$71)/2</f>
        <v>28</v>
      </c>
    </row>
    <row r="10" spans="1:23" ht="17.399999999999999" thickBot="1" x14ac:dyDescent="0.35">
      <c r="B10" s="65">
        <v>3</v>
      </c>
      <c r="C10" s="66" t="s">
        <v>15</v>
      </c>
      <c r="D10" s="66">
        <f ca="1">SUMIF(E16:$F$71,"Duyên",$G$16:$G$71)+SUMIF(E16:$F$71,"All Team",$G$16:$G$71)/5+SUMIF(E16:$F$71,"Khoa,Khánh,Duyên",$G$16:$G$71)/3+SUMIF(E16:$F$71,"Khánh,Duyên",$G$16:$G$71)/3</f>
        <v>29</v>
      </c>
      <c r="E10" s="66">
        <f ca="1">SUMIF($E$16:$F$71,"Duyên",$G$16:$G$71)+SUMIF($E$16:$F$71,"All Team",$G$16:$G$71)/5+SUMIF($E$16:$F$71,"Khoa,Khánh,Duyên",$G$16:$G$71)/3+SUMIF($E$16:$F$71,"Khánh,Duyên",$G$16:$G$71)/2</f>
        <v>29</v>
      </c>
    </row>
    <row r="11" spans="1:23" ht="17.399999999999999" thickBot="1" x14ac:dyDescent="0.35">
      <c r="B11" s="65">
        <v>4</v>
      </c>
      <c r="C11" s="66" t="s">
        <v>16</v>
      </c>
      <c r="D11" s="66">
        <f ca="1">SUMIF(E16:$F$71,"Duy",$G$16:$G$71)+SUMIF(E16:$F$71,"All Team",$G$16:$G$71)/5</f>
        <v>30</v>
      </c>
      <c r="E11" s="66">
        <f ca="1">SUMIF($E$16:$F$71,"Duy",$G$16:$G$71)+SUMIF($E$16:$F$71,"All Team",$G$16:$G$71)/5</f>
        <v>30</v>
      </c>
    </row>
    <row r="12" spans="1:23" ht="17.399999999999999" thickBot="1" x14ac:dyDescent="0.35">
      <c r="B12" s="65">
        <v>5</v>
      </c>
      <c r="C12" s="66" t="s">
        <v>199</v>
      </c>
      <c r="D12" s="66">
        <f ca="1">SUMIF(E16:$F$71,"Rin",$G$16:$G$71)+SUMIF(E16:$F$71,"All Team",$G$16:$G$71)/5</f>
        <v>27</v>
      </c>
      <c r="E12" s="66">
        <f ca="1">SUMIF($E$16:$F$71,"Rin",$G$16:$G$71)+SUMIF($E$16:$F$71,"All Team",$G$16:$G$71)/5</f>
        <v>27</v>
      </c>
    </row>
    <row r="13" spans="1:23" ht="17.399999999999999" thickBot="1" x14ac:dyDescent="0.35">
      <c r="B13" s="63" t="s">
        <v>12</v>
      </c>
      <c r="C13" s="63"/>
      <c r="D13" s="63">
        <f ca="1">SUM(D8:D12)</f>
        <v>144</v>
      </c>
      <c r="E13" s="63">
        <f ca="1">SUM(E8:E12)</f>
        <v>144</v>
      </c>
    </row>
    <row r="15" spans="1:23" s="67" customFormat="1" ht="67.8" customHeight="1" x14ac:dyDescent="0.3">
      <c r="A15" s="1" t="s">
        <v>17</v>
      </c>
      <c r="B15" s="1" t="s">
        <v>18</v>
      </c>
      <c r="C15" s="68" t="s">
        <v>19</v>
      </c>
      <c r="D15" s="68"/>
      <c r="E15" s="1" t="s">
        <v>20</v>
      </c>
      <c r="F15" s="1"/>
      <c r="G15" s="2" t="s">
        <v>10</v>
      </c>
      <c r="H15" s="2" t="s">
        <v>11</v>
      </c>
      <c r="I15" s="34">
        <v>46143</v>
      </c>
      <c r="J15" s="34">
        <v>46144</v>
      </c>
      <c r="K15" s="34">
        <v>46145</v>
      </c>
      <c r="L15" s="34">
        <v>46146</v>
      </c>
      <c r="M15" s="34">
        <v>46147</v>
      </c>
      <c r="N15" s="34">
        <v>46148</v>
      </c>
      <c r="O15" s="34">
        <v>46149</v>
      </c>
      <c r="P15" s="34">
        <v>46150</v>
      </c>
      <c r="Q15" s="34">
        <v>46151</v>
      </c>
      <c r="R15" s="34">
        <v>46152</v>
      </c>
      <c r="S15" s="34">
        <v>46153</v>
      </c>
      <c r="T15" s="34">
        <v>46154</v>
      </c>
      <c r="U15" s="34">
        <v>46155</v>
      </c>
      <c r="V15" s="34">
        <v>46156</v>
      </c>
      <c r="W15" s="34">
        <v>46157</v>
      </c>
    </row>
    <row r="16" spans="1:23" x14ac:dyDescent="0.3">
      <c r="A16" s="76" t="s">
        <v>120</v>
      </c>
      <c r="B16" s="69" t="s">
        <v>21</v>
      </c>
      <c r="C16" s="69"/>
      <c r="D16" s="69"/>
      <c r="E16" s="70" t="s">
        <v>75</v>
      </c>
      <c r="F16" s="70"/>
      <c r="G16" s="35">
        <v>10</v>
      </c>
      <c r="H16" s="35">
        <v>10</v>
      </c>
      <c r="I16" s="31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</row>
    <row r="17" spans="1:23" x14ac:dyDescent="0.3">
      <c r="A17" s="76"/>
      <c r="B17" s="69" t="s">
        <v>121</v>
      </c>
      <c r="C17" s="69"/>
      <c r="D17" s="69"/>
      <c r="E17" s="70" t="s">
        <v>79</v>
      </c>
      <c r="F17" s="70"/>
      <c r="G17" s="35">
        <v>4</v>
      </c>
      <c r="H17" s="35">
        <v>4</v>
      </c>
      <c r="I17" s="31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x14ac:dyDescent="0.3">
      <c r="A18" s="76"/>
      <c r="B18" s="69" t="s">
        <v>23</v>
      </c>
      <c r="C18" s="69"/>
      <c r="D18" s="69"/>
      <c r="E18" s="70" t="s">
        <v>77</v>
      </c>
      <c r="F18" s="70"/>
      <c r="G18" s="35">
        <v>4</v>
      </c>
      <c r="H18" s="35">
        <v>4</v>
      </c>
      <c r="I18" s="35">
        <v>4</v>
      </c>
      <c r="J18" s="31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x14ac:dyDescent="0.3">
      <c r="A19" s="76"/>
      <c r="B19" s="71" t="s">
        <v>31</v>
      </c>
      <c r="C19" s="69" t="s">
        <v>123</v>
      </c>
      <c r="D19" s="69"/>
      <c r="E19" s="70" t="s">
        <v>77</v>
      </c>
      <c r="F19" s="70"/>
      <c r="G19" s="35">
        <v>2</v>
      </c>
      <c r="H19" s="35">
        <v>2</v>
      </c>
      <c r="I19" s="35">
        <v>2</v>
      </c>
      <c r="J19" s="35">
        <v>2</v>
      </c>
      <c r="K19" s="31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</row>
    <row r="20" spans="1:23" x14ac:dyDescent="0.3">
      <c r="A20" s="76"/>
      <c r="B20" s="71"/>
      <c r="C20" s="69" t="s">
        <v>124</v>
      </c>
      <c r="D20" s="69"/>
      <c r="E20" s="70" t="s">
        <v>78</v>
      </c>
      <c r="F20" s="70"/>
      <c r="G20" s="35">
        <v>2</v>
      </c>
      <c r="H20" s="35">
        <v>2</v>
      </c>
      <c r="I20" s="35">
        <v>2</v>
      </c>
      <c r="J20" s="35">
        <v>2</v>
      </c>
      <c r="K20" s="31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x14ac:dyDescent="0.3">
      <c r="A21" s="76"/>
      <c r="B21" s="71"/>
      <c r="C21" s="69" t="s">
        <v>125</v>
      </c>
      <c r="D21" s="69"/>
      <c r="E21" s="70" t="s">
        <v>76</v>
      </c>
      <c r="F21" s="70"/>
      <c r="G21" s="35">
        <v>2</v>
      </c>
      <c r="H21" s="35">
        <v>2</v>
      </c>
      <c r="I21" s="35">
        <v>2</v>
      </c>
      <c r="J21" s="35">
        <v>2</v>
      </c>
      <c r="K21" s="31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x14ac:dyDescent="0.3">
      <c r="A22" s="76"/>
      <c r="B22" s="71"/>
      <c r="C22" s="69" t="s">
        <v>126</v>
      </c>
      <c r="D22" s="69"/>
      <c r="E22" s="70" t="s">
        <v>80</v>
      </c>
      <c r="F22" s="70"/>
      <c r="G22" s="35">
        <v>1</v>
      </c>
      <c r="H22" s="35">
        <v>2</v>
      </c>
      <c r="I22" s="35">
        <v>2</v>
      </c>
      <c r="J22" s="35">
        <v>2</v>
      </c>
      <c r="K22" s="31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x14ac:dyDescent="0.3">
      <c r="A23" s="76"/>
      <c r="B23" s="71"/>
      <c r="C23" s="72"/>
      <c r="D23" s="73"/>
      <c r="E23" s="72"/>
      <c r="F23" s="73"/>
      <c r="G23" s="35"/>
      <c r="H23" s="35"/>
      <c r="I23" s="35"/>
      <c r="J23" s="35"/>
      <c r="K23" s="32">
        <v>1</v>
      </c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 x14ac:dyDescent="0.3">
      <c r="A24" s="76"/>
      <c r="B24" s="71"/>
      <c r="C24" s="69" t="s">
        <v>127</v>
      </c>
      <c r="D24" s="69"/>
      <c r="E24" s="70" t="s">
        <v>79</v>
      </c>
      <c r="F24" s="70"/>
      <c r="G24" s="35">
        <v>2</v>
      </c>
      <c r="H24" s="35">
        <v>2</v>
      </c>
      <c r="I24" s="35">
        <v>2</v>
      </c>
      <c r="J24" s="35">
        <v>2</v>
      </c>
      <c r="K24" s="31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x14ac:dyDescent="0.3">
      <c r="A25" s="76"/>
      <c r="B25" s="71"/>
      <c r="C25" s="69" t="s">
        <v>128</v>
      </c>
      <c r="D25" s="69"/>
      <c r="E25" s="70" t="s">
        <v>76</v>
      </c>
      <c r="F25" s="70"/>
      <c r="G25" s="35">
        <v>1</v>
      </c>
      <c r="H25" s="35">
        <v>2</v>
      </c>
      <c r="I25" s="35">
        <v>2</v>
      </c>
      <c r="J25" s="35">
        <v>2</v>
      </c>
      <c r="K25" s="31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x14ac:dyDescent="0.3">
      <c r="A26" s="76"/>
      <c r="B26" s="71"/>
      <c r="C26" s="72"/>
      <c r="D26" s="73"/>
      <c r="E26" s="72"/>
      <c r="F26" s="73"/>
      <c r="G26" s="35"/>
      <c r="H26" s="35"/>
      <c r="I26" s="35"/>
      <c r="J26" s="35"/>
      <c r="K26" s="32">
        <v>1</v>
      </c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1:23" x14ac:dyDescent="0.3">
      <c r="A27" s="76"/>
      <c r="B27" s="71"/>
      <c r="C27" s="69" t="s">
        <v>129</v>
      </c>
      <c r="D27" s="69"/>
      <c r="E27" s="70" t="s">
        <v>75</v>
      </c>
      <c r="F27" s="70"/>
      <c r="G27" s="35">
        <v>10</v>
      </c>
      <c r="H27" s="35">
        <v>10</v>
      </c>
      <c r="I27" s="35">
        <v>10</v>
      </c>
      <c r="J27" s="35">
        <v>10</v>
      </c>
      <c r="K27" s="35">
        <v>10</v>
      </c>
      <c r="L27" s="31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x14ac:dyDescent="0.3">
      <c r="A28" s="76"/>
      <c r="B28" s="71" t="s">
        <v>41</v>
      </c>
      <c r="C28" s="69" t="s">
        <v>130</v>
      </c>
      <c r="D28" s="69"/>
      <c r="E28" s="70" t="s">
        <v>78</v>
      </c>
      <c r="F28" s="70"/>
      <c r="G28" s="35">
        <v>2</v>
      </c>
      <c r="H28" s="35">
        <v>2</v>
      </c>
      <c r="I28" s="35">
        <v>2</v>
      </c>
      <c r="J28" s="35">
        <v>2</v>
      </c>
      <c r="K28" s="35">
        <v>2</v>
      </c>
      <c r="L28" s="35">
        <v>2</v>
      </c>
      <c r="M28" s="31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x14ac:dyDescent="0.3">
      <c r="A29" s="76"/>
      <c r="B29" s="71"/>
      <c r="C29" s="69" t="s">
        <v>131</v>
      </c>
      <c r="D29" s="69"/>
      <c r="E29" s="70" t="s">
        <v>76</v>
      </c>
      <c r="F29" s="70"/>
      <c r="G29" s="35">
        <v>2</v>
      </c>
      <c r="H29" s="35">
        <v>2</v>
      </c>
      <c r="I29" s="35">
        <v>2</v>
      </c>
      <c r="J29" s="35">
        <v>2</v>
      </c>
      <c r="K29" s="35">
        <v>2</v>
      </c>
      <c r="L29" s="35">
        <v>2</v>
      </c>
      <c r="M29" s="31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x14ac:dyDescent="0.3">
      <c r="A30" s="76"/>
      <c r="B30" s="71"/>
      <c r="C30" s="69" t="s">
        <v>133</v>
      </c>
      <c r="D30" s="69"/>
      <c r="E30" s="70" t="s">
        <v>80</v>
      </c>
      <c r="F30" s="70"/>
      <c r="G30" s="35">
        <v>2</v>
      </c>
      <c r="H30" s="35">
        <v>2</v>
      </c>
      <c r="I30" s="35">
        <v>2</v>
      </c>
      <c r="J30" s="35">
        <v>2</v>
      </c>
      <c r="K30" s="35">
        <v>2</v>
      </c>
      <c r="L30" s="35">
        <v>2</v>
      </c>
      <c r="M30" s="31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76"/>
      <c r="B31" s="71"/>
      <c r="C31" s="69" t="s">
        <v>134</v>
      </c>
      <c r="D31" s="69"/>
      <c r="E31" s="70" t="s">
        <v>137</v>
      </c>
      <c r="F31" s="70"/>
      <c r="G31" s="35">
        <v>2</v>
      </c>
      <c r="H31" s="35">
        <v>2</v>
      </c>
      <c r="I31" s="35">
        <v>2</v>
      </c>
      <c r="J31" s="35">
        <v>2</v>
      </c>
      <c r="K31" s="35">
        <v>2</v>
      </c>
      <c r="L31" s="35">
        <v>2</v>
      </c>
      <c r="M31" s="31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</row>
    <row r="32" spans="1:23" x14ac:dyDescent="0.3">
      <c r="A32" s="76"/>
      <c r="B32" s="71"/>
      <c r="C32" s="69" t="s">
        <v>132</v>
      </c>
      <c r="D32" s="69"/>
      <c r="E32" s="70" t="s">
        <v>77</v>
      </c>
      <c r="F32" s="70"/>
      <c r="G32" s="35">
        <v>2</v>
      </c>
      <c r="H32" s="35">
        <v>2</v>
      </c>
      <c r="I32" s="35">
        <v>2</v>
      </c>
      <c r="J32" s="35">
        <v>2</v>
      </c>
      <c r="K32" s="35">
        <v>2</v>
      </c>
      <c r="L32" s="35">
        <v>2</v>
      </c>
      <c r="M32" s="31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</row>
    <row r="33" spans="1:23" x14ac:dyDescent="0.3">
      <c r="A33" s="76"/>
      <c r="B33" s="71"/>
      <c r="C33" s="69" t="s">
        <v>135</v>
      </c>
      <c r="D33" s="69"/>
      <c r="E33" s="70" t="s">
        <v>78</v>
      </c>
      <c r="F33" s="70"/>
      <c r="G33" s="35">
        <v>1</v>
      </c>
      <c r="H33" s="35">
        <v>2</v>
      </c>
      <c r="I33" s="35">
        <v>2</v>
      </c>
      <c r="J33" s="35">
        <v>2</v>
      </c>
      <c r="K33" s="35">
        <v>2</v>
      </c>
      <c r="L33" s="35">
        <v>2</v>
      </c>
      <c r="M33" s="31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</row>
    <row r="34" spans="1:23" x14ac:dyDescent="0.3">
      <c r="A34" s="76"/>
      <c r="B34" s="71"/>
      <c r="C34" s="72"/>
      <c r="D34" s="73"/>
      <c r="E34" s="72"/>
      <c r="F34" s="73"/>
      <c r="G34" s="35"/>
      <c r="H34" s="35"/>
      <c r="I34" s="35"/>
      <c r="J34" s="35"/>
      <c r="K34" s="35"/>
      <c r="L34" s="35"/>
      <c r="M34" s="32">
        <v>1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76"/>
      <c r="B35" s="71"/>
      <c r="C35" s="69" t="s">
        <v>136</v>
      </c>
      <c r="D35" s="69"/>
      <c r="E35" s="70" t="s">
        <v>75</v>
      </c>
      <c r="F35" s="70"/>
      <c r="G35" s="35">
        <v>10</v>
      </c>
      <c r="H35" s="35">
        <v>10</v>
      </c>
      <c r="I35" s="35">
        <v>10</v>
      </c>
      <c r="J35" s="35">
        <v>10</v>
      </c>
      <c r="K35" s="35">
        <v>10</v>
      </c>
      <c r="L35" s="35">
        <v>10</v>
      </c>
      <c r="M35" s="35">
        <v>10</v>
      </c>
      <c r="N35" s="31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</row>
    <row r="36" spans="1:23" ht="17.399999999999999" customHeight="1" x14ac:dyDescent="0.3">
      <c r="A36" s="76"/>
      <c r="B36" s="70" t="s">
        <v>44</v>
      </c>
      <c r="C36" s="69" t="s">
        <v>187</v>
      </c>
      <c r="D36" s="69"/>
      <c r="E36" s="70" t="s">
        <v>78</v>
      </c>
      <c r="F36" s="70"/>
      <c r="G36" s="35">
        <v>2</v>
      </c>
      <c r="H36" s="35">
        <v>2</v>
      </c>
      <c r="I36" s="35">
        <v>2</v>
      </c>
      <c r="J36" s="35">
        <v>2</v>
      </c>
      <c r="K36" s="35">
        <v>2</v>
      </c>
      <c r="L36" s="35">
        <v>2</v>
      </c>
      <c r="M36" s="35">
        <v>2</v>
      </c>
      <c r="N36" s="35">
        <v>2</v>
      </c>
      <c r="O36" s="31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</row>
    <row r="37" spans="1:23" x14ac:dyDescent="0.3">
      <c r="A37" s="76"/>
      <c r="B37" s="70"/>
      <c r="C37" s="69" t="s">
        <v>193</v>
      </c>
      <c r="D37" s="69"/>
      <c r="E37" s="70" t="s">
        <v>78</v>
      </c>
      <c r="F37" s="70"/>
      <c r="G37" s="35">
        <v>3</v>
      </c>
      <c r="H37" s="35">
        <v>3</v>
      </c>
      <c r="I37" s="35">
        <v>3</v>
      </c>
      <c r="J37" s="35">
        <v>3</v>
      </c>
      <c r="K37" s="35">
        <v>3</v>
      </c>
      <c r="L37" s="35">
        <v>3</v>
      </c>
      <c r="M37" s="35">
        <v>3</v>
      </c>
      <c r="N37" s="35">
        <v>3</v>
      </c>
      <c r="O37" s="35">
        <v>3</v>
      </c>
      <c r="P37" s="31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</row>
    <row r="38" spans="1:23" x14ac:dyDescent="0.3">
      <c r="A38" s="76"/>
      <c r="B38" s="70"/>
      <c r="C38" s="69" t="s">
        <v>188</v>
      </c>
      <c r="D38" s="69"/>
      <c r="E38" s="70" t="s">
        <v>77</v>
      </c>
      <c r="F38" s="70"/>
      <c r="G38" s="35">
        <v>2</v>
      </c>
      <c r="H38" s="35">
        <v>2</v>
      </c>
      <c r="I38" s="35">
        <v>2</v>
      </c>
      <c r="J38" s="35">
        <v>2</v>
      </c>
      <c r="K38" s="35">
        <v>2</v>
      </c>
      <c r="L38" s="35">
        <v>2</v>
      </c>
      <c r="M38" s="35">
        <v>2</v>
      </c>
      <c r="N38" s="35">
        <v>2</v>
      </c>
      <c r="O38" s="31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</row>
    <row r="39" spans="1:23" x14ac:dyDescent="0.3">
      <c r="A39" s="76"/>
      <c r="B39" s="70"/>
      <c r="C39" s="69" t="s">
        <v>194</v>
      </c>
      <c r="D39" s="69"/>
      <c r="E39" s="70" t="s">
        <v>77</v>
      </c>
      <c r="F39" s="70"/>
      <c r="G39" s="35">
        <v>4</v>
      </c>
      <c r="H39" s="35">
        <v>3</v>
      </c>
      <c r="I39" s="35">
        <v>3</v>
      </c>
      <c r="J39" s="35">
        <v>3</v>
      </c>
      <c r="K39" s="35">
        <v>3</v>
      </c>
      <c r="L39" s="35">
        <v>3</v>
      </c>
      <c r="M39" s="35">
        <v>3</v>
      </c>
      <c r="N39" s="35">
        <v>3</v>
      </c>
      <c r="O39" s="35">
        <v>3</v>
      </c>
      <c r="P39" s="31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</row>
    <row r="40" spans="1:23" x14ac:dyDescent="0.3">
      <c r="A40" s="76"/>
      <c r="B40" s="70"/>
      <c r="C40" s="72"/>
      <c r="D40" s="73"/>
      <c r="E40" s="72"/>
      <c r="F40" s="73"/>
      <c r="G40" s="35"/>
      <c r="H40" s="35"/>
      <c r="I40" s="35"/>
      <c r="J40" s="35"/>
      <c r="K40" s="35"/>
      <c r="L40" s="35"/>
      <c r="M40" s="35"/>
      <c r="N40" s="35"/>
      <c r="O40" s="35"/>
      <c r="P40" s="33">
        <v>1</v>
      </c>
      <c r="Q40" s="35"/>
      <c r="R40" s="35"/>
      <c r="S40" s="35"/>
      <c r="T40" s="35"/>
      <c r="U40" s="35"/>
      <c r="V40" s="35"/>
      <c r="W40" s="35"/>
    </row>
    <row r="41" spans="1:23" x14ac:dyDescent="0.3">
      <c r="A41" s="76"/>
      <c r="B41" s="70"/>
      <c r="C41" s="69" t="s">
        <v>189</v>
      </c>
      <c r="D41" s="69"/>
      <c r="E41" s="70" t="s">
        <v>80</v>
      </c>
      <c r="F41" s="70"/>
      <c r="G41" s="35">
        <v>2</v>
      </c>
      <c r="H41" s="35">
        <v>2</v>
      </c>
      <c r="I41" s="35">
        <v>2</v>
      </c>
      <c r="J41" s="35">
        <v>2</v>
      </c>
      <c r="K41" s="35">
        <v>2</v>
      </c>
      <c r="L41" s="35">
        <v>2</v>
      </c>
      <c r="M41" s="35">
        <v>2</v>
      </c>
      <c r="N41" s="35">
        <v>2</v>
      </c>
      <c r="O41" s="31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</row>
    <row r="42" spans="1:23" x14ac:dyDescent="0.3">
      <c r="A42" s="76"/>
      <c r="B42" s="70"/>
      <c r="C42" s="69" t="s">
        <v>195</v>
      </c>
      <c r="D42" s="69"/>
      <c r="E42" s="70" t="s">
        <v>80</v>
      </c>
      <c r="F42" s="70"/>
      <c r="G42" s="35">
        <v>3</v>
      </c>
      <c r="H42" s="35">
        <v>3</v>
      </c>
      <c r="I42" s="35">
        <v>3</v>
      </c>
      <c r="J42" s="35">
        <v>3</v>
      </c>
      <c r="K42" s="35">
        <v>3</v>
      </c>
      <c r="L42" s="35">
        <v>3</v>
      </c>
      <c r="M42" s="35">
        <v>3</v>
      </c>
      <c r="N42" s="35">
        <v>3</v>
      </c>
      <c r="O42" s="35">
        <v>3</v>
      </c>
      <c r="P42" s="31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</row>
    <row r="43" spans="1:23" x14ac:dyDescent="0.3">
      <c r="A43" s="76"/>
      <c r="B43" s="70"/>
      <c r="C43" s="69" t="s">
        <v>190</v>
      </c>
      <c r="D43" s="69"/>
      <c r="E43" s="70" t="s">
        <v>79</v>
      </c>
      <c r="F43" s="70"/>
      <c r="G43" s="35">
        <v>2</v>
      </c>
      <c r="H43" s="35">
        <v>2</v>
      </c>
      <c r="I43" s="35">
        <v>2</v>
      </c>
      <c r="J43" s="35">
        <v>2</v>
      </c>
      <c r="K43" s="35">
        <v>2</v>
      </c>
      <c r="L43" s="35">
        <v>2</v>
      </c>
      <c r="M43" s="35">
        <v>2</v>
      </c>
      <c r="N43" s="35">
        <v>2</v>
      </c>
      <c r="O43" s="31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</row>
    <row r="44" spans="1:23" x14ac:dyDescent="0.3">
      <c r="A44" s="76"/>
      <c r="B44" s="70"/>
      <c r="C44" s="69" t="s">
        <v>196</v>
      </c>
      <c r="D44" s="69"/>
      <c r="E44" s="70" t="s">
        <v>79</v>
      </c>
      <c r="F44" s="70"/>
      <c r="G44" s="35">
        <v>3</v>
      </c>
      <c r="H44" s="35">
        <v>3</v>
      </c>
      <c r="I44" s="35">
        <v>3</v>
      </c>
      <c r="J44" s="35">
        <v>3</v>
      </c>
      <c r="K44" s="35">
        <v>3</v>
      </c>
      <c r="L44" s="35">
        <v>3</v>
      </c>
      <c r="M44" s="35">
        <v>3</v>
      </c>
      <c r="N44" s="35">
        <v>3</v>
      </c>
      <c r="O44" s="35">
        <v>3</v>
      </c>
      <c r="P44" s="31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</row>
    <row r="45" spans="1:23" x14ac:dyDescent="0.3">
      <c r="A45" s="76"/>
      <c r="B45" s="70"/>
      <c r="C45" s="69" t="s">
        <v>191</v>
      </c>
      <c r="D45" s="69"/>
      <c r="E45" s="70" t="s">
        <v>76</v>
      </c>
      <c r="F45" s="70"/>
      <c r="G45" s="35">
        <v>2</v>
      </c>
      <c r="H45" s="35">
        <v>2</v>
      </c>
      <c r="I45" s="35">
        <v>2</v>
      </c>
      <c r="J45" s="35">
        <v>2</v>
      </c>
      <c r="K45" s="35">
        <v>2</v>
      </c>
      <c r="L45" s="35">
        <v>2</v>
      </c>
      <c r="M45" s="35">
        <v>2</v>
      </c>
      <c r="N45" s="35">
        <v>2</v>
      </c>
      <c r="O45" s="31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</row>
    <row r="46" spans="1:23" x14ac:dyDescent="0.3">
      <c r="A46" s="76"/>
      <c r="B46" s="70"/>
      <c r="C46" s="69" t="s">
        <v>197</v>
      </c>
      <c r="D46" s="69"/>
      <c r="E46" s="70" t="s">
        <v>76</v>
      </c>
      <c r="F46" s="70"/>
      <c r="G46" s="35">
        <v>3</v>
      </c>
      <c r="H46" s="35">
        <v>3</v>
      </c>
      <c r="I46" s="35">
        <v>3</v>
      </c>
      <c r="J46" s="35">
        <v>3</v>
      </c>
      <c r="K46" s="35">
        <v>3</v>
      </c>
      <c r="L46" s="35">
        <v>3</v>
      </c>
      <c r="M46" s="35">
        <v>3</v>
      </c>
      <c r="N46" s="35">
        <v>3</v>
      </c>
      <c r="O46" s="35">
        <v>3</v>
      </c>
      <c r="P46" s="31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</row>
    <row r="47" spans="1:23" x14ac:dyDescent="0.3">
      <c r="A47" s="76"/>
      <c r="B47" s="70"/>
      <c r="C47" s="69" t="s">
        <v>192</v>
      </c>
      <c r="D47" s="69"/>
      <c r="E47" s="70" t="s">
        <v>77</v>
      </c>
      <c r="F47" s="70"/>
      <c r="G47" s="35">
        <v>1</v>
      </c>
      <c r="H47" s="35">
        <v>1</v>
      </c>
      <c r="I47" s="35">
        <v>1</v>
      </c>
      <c r="J47" s="35">
        <v>1</v>
      </c>
      <c r="K47" s="35">
        <v>1</v>
      </c>
      <c r="L47" s="35">
        <v>1</v>
      </c>
      <c r="M47" s="35">
        <v>1</v>
      </c>
      <c r="N47" s="35">
        <v>1</v>
      </c>
      <c r="O47" s="31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</row>
    <row r="48" spans="1:23" x14ac:dyDescent="0.3">
      <c r="A48" s="76"/>
      <c r="B48" s="70"/>
      <c r="C48" s="69" t="s">
        <v>198</v>
      </c>
      <c r="D48" s="69"/>
      <c r="E48" s="70" t="s">
        <v>158</v>
      </c>
      <c r="F48" s="70"/>
      <c r="G48" s="35">
        <v>12</v>
      </c>
      <c r="H48" s="35">
        <v>8</v>
      </c>
      <c r="I48" s="35">
        <v>8</v>
      </c>
      <c r="J48" s="35">
        <v>8</v>
      </c>
      <c r="K48" s="35">
        <v>8</v>
      </c>
      <c r="L48" s="35">
        <v>8</v>
      </c>
      <c r="M48" s="35">
        <v>8</v>
      </c>
      <c r="N48" s="35">
        <v>8</v>
      </c>
      <c r="O48" s="35">
        <v>5</v>
      </c>
      <c r="P48" s="35">
        <v>3</v>
      </c>
      <c r="Q48" s="31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</row>
    <row r="49" spans="1:23" x14ac:dyDescent="0.3">
      <c r="A49" s="76"/>
      <c r="B49" s="70"/>
      <c r="C49" s="72"/>
      <c r="D49" s="73"/>
      <c r="E49" s="72"/>
      <c r="F49" s="73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3">
        <v>4</v>
      </c>
      <c r="R49" s="35"/>
      <c r="S49" s="35"/>
      <c r="T49" s="35"/>
      <c r="U49" s="35"/>
      <c r="V49" s="35"/>
      <c r="W49" s="35"/>
    </row>
    <row r="50" spans="1:23" x14ac:dyDescent="0.3">
      <c r="A50" s="76"/>
      <c r="B50" s="70"/>
      <c r="C50" s="69" t="s">
        <v>43</v>
      </c>
      <c r="D50" s="69"/>
      <c r="E50" s="70" t="s">
        <v>75</v>
      </c>
      <c r="F50" s="70"/>
      <c r="G50" s="35">
        <v>10</v>
      </c>
      <c r="H50" s="35">
        <v>10</v>
      </c>
      <c r="I50" s="35">
        <v>10</v>
      </c>
      <c r="J50" s="35">
        <v>10</v>
      </c>
      <c r="K50" s="35">
        <v>10</v>
      </c>
      <c r="L50" s="35">
        <v>10</v>
      </c>
      <c r="M50" s="35">
        <v>10</v>
      </c>
      <c r="N50" s="35">
        <v>10</v>
      </c>
      <c r="O50" s="35">
        <v>10</v>
      </c>
      <c r="P50" s="35">
        <v>10</v>
      </c>
      <c r="Q50" s="35">
        <v>10</v>
      </c>
      <c r="R50" s="31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</row>
    <row r="51" spans="1:23" x14ac:dyDescent="0.3">
      <c r="A51" s="76"/>
      <c r="B51" s="70" t="s">
        <v>53</v>
      </c>
      <c r="C51" s="69" t="s">
        <v>138</v>
      </c>
      <c r="D51" s="69"/>
      <c r="E51" s="70" t="s">
        <v>76</v>
      </c>
      <c r="F51" s="70"/>
      <c r="G51" s="35">
        <v>2</v>
      </c>
      <c r="H51" s="35">
        <v>2</v>
      </c>
      <c r="I51" s="35">
        <v>2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1">
        <v>0</v>
      </c>
      <c r="T51" s="35">
        <v>0</v>
      </c>
      <c r="U51" s="35">
        <v>0</v>
      </c>
      <c r="V51" s="35">
        <v>0</v>
      </c>
      <c r="W51" s="35">
        <v>0</v>
      </c>
    </row>
    <row r="52" spans="1:23" x14ac:dyDescent="0.3">
      <c r="A52" s="76"/>
      <c r="B52" s="70"/>
      <c r="C52" s="69" t="s">
        <v>139</v>
      </c>
      <c r="D52" s="69"/>
      <c r="E52" s="70" t="s">
        <v>80</v>
      </c>
      <c r="F52" s="70"/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5">
        <v>2</v>
      </c>
      <c r="O52" s="35">
        <v>2</v>
      </c>
      <c r="P52" s="35">
        <v>2</v>
      </c>
      <c r="Q52" s="35">
        <v>2</v>
      </c>
      <c r="R52" s="35">
        <v>2</v>
      </c>
      <c r="S52" s="31">
        <v>0</v>
      </c>
      <c r="T52" s="35">
        <v>0</v>
      </c>
      <c r="U52" s="35">
        <v>0</v>
      </c>
      <c r="V52" s="35">
        <v>0</v>
      </c>
      <c r="W52" s="35">
        <v>0</v>
      </c>
    </row>
    <row r="53" spans="1:23" x14ac:dyDescent="0.3">
      <c r="A53" s="76"/>
      <c r="B53" s="70"/>
      <c r="C53" s="69" t="s">
        <v>140</v>
      </c>
      <c r="D53" s="69"/>
      <c r="E53" s="70" t="s">
        <v>79</v>
      </c>
      <c r="F53" s="70"/>
      <c r="G53" s="35">
        <v>2</v>
      </c>
      <c r="H53" s="35">
        <v>2</v>
      </c>
      <c r="I53" s="35">
        <v>2</v>
      </c>
      <c r="J53" s="35">
        <v>2</v>
      </c>
      <c r="K53" s="35">
        <v>2</v>
      </c>
      <c r="L53" s="35">
        <v>2</v>
      </c>
      <c r="M53" s="35">
        <v>2</v>
      </c>
      <c r="N53" s="35">
        <v>2</v>
      </c>
      <c r="O53" s="35">
        <v>2</v>
      </c>
      <c r="P53" s="35">
        <v>2</v>
      </c>
      <c r="Q53" s="35">
        <v>2</v>
      </c>
      <c r="R53" s="35">
        <v>2</v>
      </c>
      <c r="S53" s="31">
        <v>0</v>
      </c>
      <c r="T53" s="35">
        <v>0</v>
      </c>
      <c r="U53" s="35">
        <v>0</v>
      </c>
      <c r="V53" s="35">
        <v>0</v>
      </c>
      <c r="W53" s="35">
        <v>0</v>
      </c>
    </row>
    <row r="54" spans="1:23" x14ac:dyDescent="0.3">
      <c r="A54" s="76"/>
      <c r="B54" s="70"/>
      <c r="C54" s="69" t="s">
        <v>141</v>
      </c>
      <c r="D54" s="69"/>
      <c r="E54" s="70" t="s">
        <v>77</v>
      </c>
      <c r="F54" s="70"/>
      <c r="G54" s="35">
        <v>2</v>
      </c>
      <c r="H54" s="35">
        <v>2</v>
      </c>
      <c r="I54" s="35">
        <v>2</v>
      </c>
      <c r="J54" s="35">
        <v>2</v>
      </c>
      <c r="K54" s="35">
        <v>2</v>
      </c>
      <c r="L54" s="35">
        <v>2</v>
      </c>
      <c r="M54" s="35">
        <v>2</v>
      </c>
      <c r="N54" s="35">
        <v>2</v>
      </c>
      <c r="O54" s="35">
        <v>2</v>
      </c>
      <c r="P54" s="35">
        <v>2</v>
      </c>
      <c r="Q54" s="35">
        <v>2</v>
      </c>
      <c r="R54" s="35">
        <v>2</v>
      </c>
      <c r="S54" s="31">
        <v>0</v>
      </c>
      <c r="T54" s="35">
        <v>0</v>
      </c>
      <c r="U54" s="35">
        <v>0</v>
      </c>
      <c r="V54" s="35">
        <v>0</v>
      </c>
      <c r="W54" s="35">
        <v>0</v>
      </c>
    </row>
    <row r="55" spans="1:23" x14ac:dyDescent="0.3">
      <c r="A55" s="76"/>
      <c r="B55" s="70"/>
      <c r="C55" s="69" t="s">
        <v>142</v>
      </c>
      <c r="D55" s="69"/>
      <c r="E55" s="70" t="s">
        <v>78</v>
      </c>
      <c r="F55" s="70"/>
      <c r="G55" s="35">
        <v>2</v>
      </c>
      <c r="H55" s="35">
        <v>2</v>
      </c>
      <c r="I55" s="35">
        <v>2</v>
      </c>
      <c r="J55" s="35">
        <v>2</v>
      </c>
      <c r="K55" s="35">
        <v>2</v>
      </c>
      <c r="L55" s="35">
        <v>2</v>
      </c>
      <c r="M55" s="35">
        <v>2</v>
      </c>
      <c r="N55" s="35">
        <v>2</v>
      </c>
      <c r="O55" s="35">
        <v>2</v>
      </c>
      <c r="P55" s="35">
        <v>2</v>
      </c>
      <c r="Q55" s="35">
        <v>2</v>
      </c>
      <c r="R55" s="35">
        <v>2</v>
      </c>
      <c r="S55" s="31">
        <v>0</v>
      </c>
      <c r="T55" s="35">
        <v>0</v>
      </c>
      <c r="U55" s="35">
        <v>0</v>
      </c>
      <c r="V55" s="35">
        <v>0</v>
      </c>
      <c r="W55" s="35">
        <v>0</v>
      </c>
    </row>
    <row r="56" spans="1:23" x14ac:dyDescent="0.3">
      <c r="A56" s="76"/>
      <c r="B56" s="70"/>
      <c r="C56" s="69" t="s">
        <v>143</v>
      </c>
      <c r="D56" s="69"/>
      <c r="E56" s="70" t="s">
        <v>76</v>
      </c>
      <c r="F56" s="70"/>
      <c r="G56" s="35">
        <v>2</v>
      </c>
      <c r="H56" s="35">
        <v>2</v>
      </c>
      <c r="I56" s="35">
        <v>2</v>
      </c>
      <c r="J56" s="35">
        <v>2</v>
      </c>
      <c r="K56" s="35">
        <v>2</v>
      </c>
      <c r="L56" s="35">
        <v>2</v>
      </c>
      <c r="M56" s="35">
        <v>2</v>
      </c>
      <c r="N56" s="35">
        <v>2</v>
      </c>
      <c r="O56" s="35">
        <v>2</v>
      </c>
      <c r="P56" s="35">
        <v>2</v>
      </c>
      <c r="Q56" s="35">
        <v>2</v>
      </c>
      <c r="R56" s="35">
        <v>2</v>
      </c>
      <c r="S56" s="31">
        <v>0</v>
      </c>
      <c r="T56" s="35">
        <v>0</v>
      </c>
      <c r="U56" s="35">
        <v>0</v>
      </c>
      <c r="V56" s="35">
        <v>0</v>
      </c>
      <c r="W56" s="35">
        <v>0</v>
      </c>
    </row>
    <row r="57" spans="1:23" x14ac:dyDescent="0.3">
      <c r="A57" s="76"/>
      <c r="B57" s="78" t="s">
        <v>62</v>
      </c>
      <c r="C57" s="69" t="s">
        <v>144</v>
      </c>
      <c r="D57" s="69"/>
      <c r="E57" s="70" t="s">
        <v>78</v>
      </c>
      <c r="F57" s="70"/>
      <c r="G57" s="35">
        <v>2</v>
      </c>
      <c r="H57" s="35">
        <v>2</v>
      </c>
      <c r="I57" s="35">
        <v>2</v>
      </c>
      <c r="J57" s="35">
        <v>2</v>
      </c>
      <c r="K57" s="35">
        <v>2</v>
      </c>
      <c r="L57" s="35">
        <v>2</v>
      </c>
      <c r="M57" s="35">
        <v>2</v>
      </c>
      <c r="N57" s="35">
        <v>2</v>
      </c>
      <c r="O57" s="35">
        <v>2</v>
      </c>
      <c r="P57" s="35">
        <v>2</v>
      </c>
      <c r="Q57" s="35">
        <v>2</v>
      </c>
      <c r="R57" s="35">
        <v>2</v>
      </c>
      <c r="S57" s="35">
        <v>2</v>
      </c>
      <c r="T57" s="31">
        <v>0</v>
      </c>
      <c r="U57" s="35">
        <v>0</v>
      </c>
      <c r="V57" s="35">
        <v>0</v>
      </c>
      <c r="W57" s="35">
        <v>0</v>
      </c>
    </row>
    <row r="58" spans="1:23" x14ac:dyDescent="0.3">
      <c r="A58" s="76"/>
      <c r="B58" s="79"/>
      <c r="C58" s="69" t="s">
        <v>145</v>
      </c>
      <c r="D58" s="69"/>
      <c r="E58" s="70" t="s">
        <v>77</v>
      </c>
      <c r="F58" s="70"/>
      <c r="G58" s="35">
        <v>2</v>
      </c>
      <c r="H58" s="35">
        <v>2</v>
      </c>
      <c r="I58" s="35">
        <v>2</v>
      </c>
      <c r="J58" s="35">
        <v>2</v>
      </c>
      <c r="K58" s="35">
        <v>2</v>
      </c>
      <c r="L58" s="35">
        <v>2</v>
      </c>
      <c r="M58" s="35">
        <v>2</v>
      </c>
      <c r="N58" s="35">
        <v>2</v>
      </c>
      <c r="O58" s="35">
        <v>2</v>
      </c>
      <c r="P58" s="35">
        <v>2</v>
      </c>
      <c r="Q58" s="35">
        <v>2</v>
      </c>
      <c r="R58" s="35">
        <v>2</v>
      </c>
      <c r="S58" s="35">
        <v>2</v>
      </c>
      <c r="T58" s="31">
        <v>0</v>
      </c>
      <c r="U58" s="35">
        <v>0</v>
      </c>
      <c r="V58" s="35">
        <v>0</v>
      </c>
      <c r="W58" s="35">
        <v>0</v>
      </c>
    </row>
    <row r="59" spans="1:23" x14ac:dyDescent="0.3">
      <c r="A59" s="76"/>
      <c r="B59" s="79"/>
      <c r="C59" s="69" t="s">
        <v>146</v>
      </c>
      <c r="D59" s="69"/>
      <c r="E59" s="70" t="s">
        <v>80</v>
      </c>
      <c r="F59" s="70"/>
      <c r="G59" s="35">
        <v>2</v>
      </c>
      <c r="H59" s="35">
        <v>2</v>
      </c>
      <c r="I59" s="35">
        <v>2</v>
      </c>
      <c r="J59" s="35">
        <v>2</v>
      </c>
      <c r="K59" s="35">
        <v>2</v>
      </c>
      <c r="L59" s="35">
        <v>2</v>
      </c>
      <c r="M59" s="35">
        <v>2</v>
      </c>
      <c r="N59" s="35">
        <v>2</v>
      </c>
      <c r="O59" s="35">
        <v>2</v>
      </c>
      <c r="P59" s="35">
        <v>2</v>
      </c>
      <c r="Q59" s="35">
        <v>2</v>
      </c>
      <c r="R59" s="35">
        <v>2</v>
      </c>
      <c r="S59" s="35">
        <v>2</v>
      </c>
      <c r="T59" s="31">
        <v>0</v>
      </c>
      <c r="U59" s="35">
        <v>0</v>
      </c>
      <c r="V59" s="35">
        <v>0</v>
      </c>
      <c r="W59" s="35">
        <v>0</v>
      </c>
    </row>
    <row r="60" spans="1:23" x14ac:dyDescent="0.3">
      <c r="A60" s="76"/>
      <c r="B60" s="79"/>
      <c r="C60" s="69" t="s">
        <v>147</v>
      </c>
      <c r="D60" s="69"/>
      <c r="E60" s="70" t="s">
        <v>79</v>
      </c>
      <c r="F60" s="70"/>
      <c r="G60" s="35">
        <v>2</v>
      </c>
      <c r="H60" s="35">
        <v>2</v>
      </c>
      <c r="I60" s="35">
        <v>2</v>
      </c>
      <c r="J60" s="35">
        <v>2</v>
      </c>
      <c r="K60" s="35">
        <v>2</v>
      </c>
      <c r="L60" s="35">
        <v>2</v>
      </c>
      <c r="M60" s="35">
        <v>2</v>
      </c>
      <c r="N60" s="35">
        <v>2</v>
      </c>
      <c r="O60" s="35">
        <v>2</v>
      </c>
      <c r="P60" s="35">
        <v>2</v>
      </c>
      <c r="Q60" s="35">
        <v>2</v>
      </c>
      <c r="R60" s="35">
        <v>2</v>
      </c>
      <c r="S60" s="35">
        <v>2</v>
      </c>
      <c r="T60" s="31">
        <v>0</v>
      </c>
      <c r="U60" s="35">
        <v>0</v>
      </c>
      <c r="V60" s="35">
        <v>0</v>
      </c>
      <c r="W60" s="35">
        <v>0</v>
      </c>
    </row>
    <row r="61" spans="1:23" x14ac:dyDescent="0.3">
      <c r="A61" s="76"/>
      <c r="B61" s="79"/>
      <c r="C61" s="69" t="s">
        <v>148</v>
      </c>
      <c r="D61" s="69"/>
      <c r="E61" s="70" t="s">
        <v>76</v>
      </c>
      <c r="F61" s="70"/>
      <c r="G61" s="35">
        <v>2</v>
      </c>
      <c r="H61" s="35">
        <v>2</v>
      </c>
      <c r="I61" s="35">
        <v>2</v>
      </c>
      <c r="J61" s="35">
        <v>2</v>
      </c>
      <c r="K61" s="35">
        <v>2</v>
      </c>
      <c r="L61" s="35">
        <v>2</v>
      </c>
      <c r="M61" s="35">
        <v>2</v>
      </c>
      <c r="N61" s="35">
        <v>2</v>
      </c>
      <c r="O61" s="35">
        <v>2</v>
      </c>
      <c r="P61" s="35">
        <v>2</v>
      </c>
      <c r="Q61" s="35">
        <v>2</v>
      </c>
      <c r="R61" s="35">
        <v>2</v>
      </c>
      <c r="S61" s="35">
        <v>2</v>
      </c>
      <c r="T61" s="31">
        <v>0</v>
      </c>
      <c r="U61" s="35">
        <v>0</v>
      </c>
      <c r="V61" s="35">
        <v>0</v>
      </c>
      <c r="W61" s="35">
        <v>0</v>
      </c>
    </row>
    <row r="62" spans="1:23" x14ac:dyDescent="0.3">
      <c r="A62" s="76"/>
      <c r="B62" s="79"/>
      <c r="C62" s="69" t="s">
        <v>149</v>
      </c>
      <c r="D62" s="69"/>
      <c r="E62" s="70" t="s">
        <v>159</v>
      </c>
      <c r="F62" s="70"/>
      <c r="G62" s="35">
        <v>5</v>
      </c>
      <c r="H62" s="35">
        <v>2</v>
      </c>
      <c r="I62" s="35">
        <v>2</v>
      </c>
      <c r="J62" s="35">
        <v>2</v>
      </c>
      <c r="K62" s="35">
        <v>2</v>
      </c>
      <c r="L62" s="35">
        <v>2</v>
      </c>
      <c r="M62" s="35">
        <v>2</v>
      </c>
      <c r="N62" s="35">
        <v>2</v>
      </c>
      <c r="O62" s="35">
        <v>2</v>
      </c>
      <c r="P62" s="35">
        <v>2</v>
      </c>
      <c r="Q62" s="35">
        <v>2</v>
      </c>
      <c r="R62" s="35">
        <v>2</v>
      </c>
      <c r="S62" s="35">
        <v>2</v>
      </c>
      <c r="T62" s="31">
        <v>0</v>
      </c>
      <c r="U62" s="35">
        <v>0</v>
      </c>
      <c r="V62" s="35">
        <v>0</v>
      </c>
      <c r="W62" s="35">
        <v>0</v>
      </c>
    </row>
    <row r="63" spans="1:23" x14ac:dyDescent="0.3">
      <c r="A63" s="76"/>
      <c r="B63" s="80"/>
      <c r="C63" s="72"/>
      <c r="D63" s="73"/>
      <c r="E63" s="72"/>
      <c r="F63" s="73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3">
        <v>3</v>
      </c>
      <c r="U63" s="35"/>
      <c r="V63" s="35"/>
      <c r="W63" s="35"/>
    </row>
    <row r="64" spans="1:23" x14ac:dyDescent="0.3">
      <c r="A64" s="76"/>
      <c r="B64" s="70" t="s">
        <v>71</v>
      </c>
      <c r="C64" s="69" t="s">
        <v>150</v>
      </c>
      <c r="D64" s="69"/>
      <c r="E64" s="70" t="s">
        <v>80</v>
      </c>
      <c r="F64" s="70"/>
      <c r="G64" s="35">
        <v>1</v>
      </c>
      <c r="H64" s="35">
        <v>1</v>
      </c>
      <c r="I64" s="35">
        <v>1</v>
      </c>
      <c r="J64" s="35">
        <v>1</v>
      </c>
      <c r="K64" s="35">
        <v>1</v>
      </c>
      <c r="L64" s="35">
        <v>1</v>
      </c>
      <c r="M64" s="35">
        <v>1</v>
      </c>
      <c r="N64" s="35">
        <v>1</v>
      </c>
      <c r="O64" s="35">
        <v>1</v>
      </c>
      <c r="P64" s="35">
        <v>1</v>
      </c>
      <c r="Q64" s="35">
        <v>1</v>
      </c>
      <c r="R64" s="35">
        <v>1</v>
      </c>
      <c r="S64" s="35">
        <v>1</v>
      </c>
      <c r="T64" s="35">
        <v>1</v>
      </c>
      <c r="U64" s="31">
        <v>0</v>
      </c>
      <c r="V64" s="35">
        <v>0</v>
      </c>
      <c r="W64" s="35">
        <v>0</v>
      </c>
    </row>
    <row r="65" spans="1:23" x14ac:dyDescent="0.3">
      <c r="A65" s="76"/>
      <c r="B65" s="70"/>
      <c r="C65" s="69" t="s">
        <v>151</v>
      </c>
      <c r="D65" s="69"/>
      <c r="E65" s="70" t="s">
        <v>79</v>
      </c>
      <c r="F65" s="70"/>
      <c r="G65" s="35">
        <v>1</v>
      </c>
      <c r="H65" s="35">
        <v>1</v>
      </c>
      <c r="I65" s="35">
        <v>1</v>
      </c>
      <c r="J65" s="35">
        <v>1</v>
      </c>
      <c r="K65" s="35">
        <v>1</v>
      </c>
      <c r="L65" s="35">
        <v>1</v>
      </c>
      <c r="M65" s="35">
        <v>1</v>
      </c>
      <c r="N65" s="35">
        <v>1</v>
      </c>
      <c r="O65" s="35">
        <v>1</v>
      </c>
      <c r="P65" s="35">
        <v>1</v>
      </c>
      <c r="Q65" s="35">
        <v>1</v>
      </c>
      <c r="R65" s="35">
        <v>1</v>
      </c>
      <c r="S65" s="35">
        <v>1</v>
      </c>
      <c r="T65" s="35">
        <v>1</v>
      </c>
      <c r="U65" s="31">
        <v>0</v>
      </c>
      <c r="V65" s="35">
        <v>0</v>
      </c>
      <c r="W65" s="35">
        <v>0</v>
      </c>
    </row>
    <row r="66" spans="1:23" x14ac:dyDescent="0.3">
      <c r="A66" s="76"/>
      <c r="B66" s="70"/>
      <c r="C66" s="69" t="s">
        <v>152</v>
      </c>
      <c r="D66" s="69"/>
      <c r="E66" s="70" t="s">
        <v>77</v>
      </c>
      <c r="F66" s="70"/>
      <c r="G66" s="35">
        <v>1</v>
      </c>
      <c r="H66" s="35">
        <v>1</v>
      </c>
      <c r="I66" s="35">
        <v>1</v>
      </c>
      <c r="J66" s="35">
        <v>1</v>
      </c>
      <c r="K66" s="35">
        <v>1</v>
      </c>
      <c r="L66" s="35">
        <v>1</v>
      </c>
      <c r="M66" s="35">
        <v>1</v>
      </c>
      <c r="N66" s="35">
        <v>1</v>
      </c>
      <c r="O66" s="35">
        <v>1</v>
      </c>
      <c r="P66" s="35">
        <v>1</v>
      </c>
      <c r="Q66" s="35">
        <v>1</v>
      </c>
      <c r="R66" s="35">
        <v>1</v>
      </c>
      <c r="S66" s="35">
        <v>1</v>
      </c>
      <c r="T66" s="35">
        <v>1</v>
      </c>
      <c r="U66" s="31">
        <v>0</v>
      </c>
      <c r="V66" s="35">
        <v>0</v>
      </c>
      <c r="W66" s="35">
        <v>0</v>
      </c>
    </row>
    <row r="67" spans="1:23" x14ac:dyDescent="0.3">
      <c r="A67" s="76"/>
      <c r="B67" s="70"/>
      <c r="C67" s="69" t="s">
        <v>153</v>
      </c>
      <c r="D67" s="69"/>
      <c r="E67" s="70" t="s">
        <v>78</v>
      </c>
      <c r="F67" s="70"/>
      <c r="G67" s="35">
        <v>1</v>
      </c>
      <c r="H67" s="35">
        <v>1</v>
      </c>
      <c r="I67" s="35">
        <v>1</v>
      </c>
      <c r="J67" s="35">
        <v>1</v>
      </c>
      <c r="K67" s="35">
        <v>1</v>
      </c>
      <c r="L67" s="35">
        <v>1</v>
      </c>
      <c r="M67" s="35">
        <v>1</v>
      </c>
      <c r="N67" s="35">
        <v>1</v>
      </c>
      <c r="O67" s="35">
        <v>1</v>
      </c>
      <c r="P67" s="35">
        <v>1</v>
      </c>
      <c r="Q67" s="35">
        <v>1</v>
      </c>
      <c r="R67" s="35">
        <v>1</v>
      </c>
      <c r="S67" s="35">
        <v>1</v>
      </c>
      <c r="T67" s="35">
        <v>1</v>
      </c>
      <c r="U67" s="31">
        <v>0</v>
      </c>
      <c r="V67" s="35">
        <v>0</v>
      </c>
      <c r="W67" s="35">
        <v>0</v>
      </c>
    </row>
    <row r="68" spans="1:23" x14ac:dyDescent="0.3">
      <c r="A68" s="76"/>
      <c r="B68" s="70"/>
      <c r="C68" s="69" t="s">
        <v>154</v>
      </c>
      <c r="D68" s="69"/>
      <c r="E68" s="70" t="s">
        <v>80</v>
      </c>
      <c r="F68" s="70"/>
      <c r="G68" s="35">
        <v>1</v>
      </c>
      <c r="H68" s="35">
        <v>1</v>
      </c>
      <c r="I68" s="35">
        <v>1</v>
      </c>
      <c r="J68" s="35">
        <v>1</v>
      </c>
      <c r="K68" s="35">
        <v>1</v>
      </c>
      <c r="L68" s="35">
        <v>1</v>
      </c>
      <c r="M68" s="35">
        <v>1</v>
      </c>
      <c r="N68" s="35">
        <v>1</v>
      </c>
      <c r="O68" s="35">
        <v>1</v>
      </c>
      <c r="P68" s="35">
        <v>1</v>
      </c>
      <c r="Q68" s="35">
        <v>1</v>
      </c>
      <c r="R68" s="35">
        <v>1</v>
      </c>
      <c r="S68" s="35">
        <v>1</v>
      </c>
      <c r="T68" s="35">
        <v>1</v>
      </c>
      <c r="U68" s="31">
        <v>0</v>
      </c>
      <c r="V68" s="35">
        <v>0</v>
      </c>
      <c r="W68" s="35">
        <v>0</v>
      </c>
    </row>
    <row r="69" spans="1:23" x14ac:dyDescent="0.3">
      <c r="A69" s="76"/>
      <c r="B69" s="70"/>
      <c r="C69" s="69" t="s">
        <v>143</v>
      </c>
      <c r="D69" s="69"/>
      <c r="E69" s="70" t="s">
        <v>79</v>
      </c>
      <c r="F69" s="70"/>
      <c r="G69" s="35">
        <v>1</v>
      </c>
      <c r="H69" s="35">
        <v>1</v>
      </c>
      <c r="I69" s="35">
        <v>1</v>
      </c>
      <c r="J69" s="35">
        <v>1</v>
      </c>
      <c r="K69" s="35">
        <v>1</v>
      </c>
      <c r="L69" s="35">
        <v>1</v>
      </c>
      <c r="M69" s="35">
        <v>1</v>
      </c>
      <c r="N69" s="35">
        <v>1</v>
      </c>
      <c r="O69" s="35">
        <v>1</v>
      </c>
      <c r="P69" s="35">
        <v>1</v>
      </c>
      <c r="Q69" s="35">
        <v>1</v>
      </c>
      <c r="R69" s="35">
        <v>1</v>
      </c>
      <c r="S69" s="35">
        <v>1</v>
      </c>
      <c r="T69" s="35">
        <v>1</v>
      </c>
      <c r="U69" s="31">
        <v>0</v>
      </c>
      <c r="V69" s="35">
        <v>0</v>
      </c>
      <c r="W69" s="35">
        <v>0</v>
      </c>
    </row>
    <row r="70" spans="1:23" x14ac:dyDescent="0.3">
      <c r="A70" s="76"/>
      <c r="B70" s="70" t="s">
        <v>201</v>
      </c>
      <c r="C70" s="77" t="s">
        <v>203</v>
      </c>
      <c r="D70" s="77"/>
      <c r="E70" s="70" t="s">
        <v>75</v>
      </c>
      <c r="F70" s="70"/>
      <c r="G70" s="35">
        <v>5</v>
      </c>
      <c r="H70" s="35">
        <v>5</v>
      </c>
      <c r="I70" s="35">
        <v>5</v>
      </c>
      <c r="J70" s="35">
        <v>5</v>
      </c>
      <c r="K70" s="35">
        <v>5</v>
      </c>
      <c r="L70" s="35">
        <v>5</v>
      </c>
      <c r="M70" s="35">
        <v>5</v>
      </c>
      <c r="N70" s="35">
        <v>5</v>
      </c>
      <c r="O70" s="35">
        <v>5</v>
      </c>
      <c r="P70" s="35">
        <v>5</v>
      </c>
      <c r="Q70" s="35">
        <v>5</v>
      </c>
      <c r="R70" s="35">
        <v>5</v>
      </c>
      <c r="S70" s="35">
        <v>5</v>
      </c>
      <c r="T70" s="35">
        <v>5</v>
      </c>
      <c r="U70" s="35">
        <v>5</v>
      </c>
      <c r="V70" s="31">
        <v>0</v>
      </c>
      <c r="W70" s="35">
        <v>0</v>
      </c>
    </row>
    <row r="71" spans="1:23" x14ac:dyDescent="0.3">
      <c r="A71" s="76"/>
      <c r="B71" s="70"/>
      <c r="C71" s="77" t="s">
        <v>202</v>
      </c>
      <c r="D71" s="77"/>
      <c r="E71" s="70" t="s">
        <v>75</v>
      </c>
      <c r="F71" s="70"/>
      <c r="G71" s="35">
        <v>5</v>
      </c>
      <c r="H71" s="35">
        <v>5</v>
      </c>
      <c r="I71" s="35">
        <v>5</v>
      </c>
      <c r="J71" s="35">
        <v>5</v>
      </c>
      <c r="K71" s="35">
        <v>5</v>
      </c>
      <c r="L71" s="35">
        <v>5</v>
      </c>
      <c r="M71" s="35">
        <v>5</v>
      </c>
      <c r="N71" s="35">
        <v>5</v>
      </c>
      <c r="O71" s="35">
        <v>5</v>
      </c>
      <c r="P71" s="35">
        <v>5</v>
      </c>
      <c r="Q71" s="35">
        <v>5</v>
      </c>
      <c r="R71" s="35">
        <v>5</v>
      </c>
      <c r="S71" s="35">
        <v>5</v>
      </c>
      <c r="T71" s="35">
        <v>5</v>
      </c>
      <c r="U71" s="35">
        <v>5</v>
      </c>
      <c r="V71" s="35">
        <v>5</v>
      </c>
      <c r="W71" s="31">
        <v>0</v>
      </c>
    </row>
    <row r="72" spans="1:23" x14ac:dyDescent="0.3">
      <c r="A72" s="76"/>
      <c r="B72" s="68" t="s">
        <v>12</v>
      </c>
      <c r="C72" s="68"/>
      <c r="D72" s="68"/>
      <c r="E72" s="74" t="s">
        <v>10</v>
      </c>
      <c r="F72" s="74"/>
      <c r="G72" s="75">
        <f>SUM(G16:G71)</f>
        <v>151</v>
      </c>
      <c r="H72" s="75"/>
      <c r="I72" s="35">
        <f>I73</f>
        <v>132</v>
      </c>
      <c r="J72" s="35">
        <f>J73</f>
        <v>128</v>
      </c>
      <c r="K72" s="35">
        <f>K73-K23-K26</f>
        <v>114</v>
      </c>
      <c r="L72" s="35">
        <f t="shared" ref="L72:W72" si="0">L73</f>
        <v>106</v>
      </c>
      <c r="M72" s="35">
        <f>M73-M34</f>
        <v>94</v>
      </c>
      <c r="N72" s="35">
        <f t="shared" si="0"/>
        <v>84</v>
      </c>
      <c r="O72" s="35">
        <f t="shared" si="0"/>
        <v>70</v>
      </c>
      <c r="P72" s="35">
        <f>P73+P40</f>
        <v>54</v>
      </c>
      <c r="Q72" s="35">
        <f>Q73+Q49</f>
        <v>54</v>
      </c>
      <c r="R72" s="35">
        <f t="shared" si="0"/>
        <v>40</v>
      </c>
      <c r="S72" s="35">
        <f t="shared" si="0"/>
        <v>28</v>
      </c>
      <c r="T72" s="35">
        <f>T73+T63</f>
        <v>19</v>
      </c>
      <c r="U72" s="35">
        <f t="shared" si="0"/>
        <v>10</v>
      </c>
      <c r="V72" s="35">
        <f t="shared" si="0"/>
        <v>5</v>
      </c>
      <c r="W72" s="35">
        <f t="shared" si="0"/>
        <v>0</v>
      </c>
    </row>
    <row r="73" spans="1:23" x14ac:dyDescent="0.3">
      <c r="A73" s="76"/>
      <c r="B73" s="68"/>
      <c r="C73" s="68"/>
      <c r="D73" s="68"/>
      <c r="E73" s="74" t="s">
        <v>11</v>
      </c>
      <c r="F73" s="74"/>
      <c r="G73" s="75">
        <f>SUM(H16:H71)</f>
        <v>146</v>
      </c>
      <c r="H73" s="75"/>
      <c r="I73" s="35">
        <f>SUM(I16:I71)</f>
        <v>132</v>
      </c>
      <c r="J73" s="35">
        <f>SUM(J16:J71)</f>
        <v>128</v>
      </c>
      <c r="K73" s="35">
        <f>SUM(K16:K71)-K23-K26</f>
        <v>116</v>
      </c>
      <c r="L73" s="35">
        <f t="shared" ref="L73:W73" si="1">SUM(L16:L71)</f>
        <v>106</v>
      </c>
      <c r="M73" s="35">
        <f t="shared" si="1"/>
        <v>95</v>
      </c>
      <c r="N73" s="35">
        <f t="shared" si="1"/>
        <v>84</v>
      </c>
      <c r="O73" s="35">
        <f t="shared" si="1"/>
        <v>70</v>
      </c>
      <c r="P73" s="35">
        <f>SUM(P16:P71)-P40</f>
        <v>53</v>
      </c>
      <c r="Q73" s="35">
        <f>SUM(Q16:Q71)-Q49</f>
        <v>50</v>
      </c>
      <c r="R73" s="35">
        <f t="shared" si="1"/>
        <v>40</v>
      </c>
      <c r="S73" s="35">
        <f t="shared" si="1"/>
        <v>28</v>
      </c>
      <c r="T73" s="35">
        <f>SUM(T16:T71)-T63</f>
        <v>16</v>
      </c>
      <c r="U73" s="35">
        <f t="shared" si="1"/>
        <v>10</v>
      </c>
      <c r="V73" s="35">
        <f t="shared" si="1"/>
        <v>5</v>
      </c>
      <c r="W73" s="35">
        <f t="shared" si="1"/>
        <v>0</v>
      </c>
    </row>
  </sheetData>
  <mergeCells count="126">
    <mergeCell ref="E23:F23"/>
    <mergeCell ref="C23:D23"/>
    <mergeCell ref="E34:F34"/>
    <mergeCell ref="C34:D34"/>
    <mergeCell ref="E49:F49"/>
    <mergeCell ref="C49:D49"/>
    <mergeCell ref="E40:F40"/>
    <mergeCell ref="C40:D40"/>
    <mergeCell ref="B57:B63"/>
    <mergeCell ref="C63:D63"/>
    <mergeCell ref="E63:F63"/>
    <mergeCell ref="C50:D50"/>
    <mergeCell ref="E50:F50"/>
    <mergeCell ref="B51:B56"/>
    <mergeCell ref="C51:D51"/>
    <mergeCell ref="E51:F51"/>
    <mergeCell ref="C52:D52"/>
    <mergeCell ref="E52:F52"/>
    <mergeCell ref="C53:D53"/>
    <mergeCell ref="E53:F53"/>
    <mergeCell ref="B36:B50"/>
    <mergeCell ref="C46:D46"/>
    <mergeCell ref="E46:F46"/>
    <mergeCell ref="C47:D47"/>
    <mergeCell ref="B72:D73"/>
    <mergeCell ref="E72:F72"/>
    <mergeCell ref="E73:F73"/>
    <mergeCell ref="G72:H72"/>
    <mergeCell ref="G73:H73"/>
    <mergeCell ref="A16:A73"/>
    <mergeCell ref="E67:F67"/>
    <mergeCell ref="C68:D68"/>
    <mergeCell ref="E68:F68"/>
    <mergeCell ref="C69:D69"/>
    <mergeCell ref="E69:F69"/>
    <mergeCell ref="B70:B71"/>
    <mergeCell ref="C70:D70"/>
    <mergeCell ref="E70:F70"/>
    <mergeCell ref="C71:D71"/>
    <mergeCell ref="E71:F71"/>
    <mergeCell ref="C62:D62"/>
    <mergeCell ref="E62:F62"/>
    <mergeCell ref="B64:B69"/>
    <mergeCell ref="C64:D64"/>
    <mergeCell ref="E64:F64"/>
    <mergeCell ref="C65:D65"/>
    <mergeCell ref="E65:F65"/>
    <mergeCell ref="C66:D66"/>
    <mergeCell ref="E66:F66"/>
    <mergeCell ref="C67:D67"/>
    <mergeCell ref="C59:D59"/>
    <mergeCell ref="E59:F59"/>
    <mergeCell ref="C60:D60"/>
    <mergeCell ref="E60:F60"/>
    <mergeCell ref="C61:D61"/>
    <mergeCell ref="E61:F61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4:D54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E38:F38"/>
    <mergeCell ref="C39:D39"/>
    <mergeCell ref="E39:F39"/>
    <mergeCell ref="C41:D41"/>
    <mergeCell ref="E41:F41"/>
    <mergeCell ref="C42:D42"/>
    <mergeCell ref="E42:F42"/>
    <mergeCell ref="C33:D33"/>
    <mergeCell ref="E33:F33"/>
    <mergeCell ref="C35:D35"/>
    <mergeCell ref="E35:F35"/>
    <mergeCell ref="C36:D36"/>
    <mergeCell ref="E36:F36"/>
    <mergeCell ref="C37:D37"/>
    <mergeCell ref="E37:F37"/>
    <mergeCell ref="C38:D38"/>
    <mergeCell ref="C31:D31"/>
    <mergeCell ref="E31:F31"/>
    <mergeCell ref="C32:D32"/>
    <mergeCell ref="E32:F32"/>
    <mergeCell ref="E24:F24"/>
    <mergeCell ref="C25:D25"/>
    <mergeCell ref="E25:F25"/>
    <mergeCell ref="C27:D27"/>
    <mergeCell ref="E27:F27"/>
    <mergeCell ref="E26:F26"/>
    <mergeCell ref="C26:D26"/>
    <mergeCell ref="C15:D15"/>
    <mergeCell ref="B16:D16"/>
    <mergeCell ref="E16:F16"/>
    <mergeCell ref="B17:D17"/>
    <mergeCell ref="E17:F17"/>
    <mergeCell ref="B18:D18"/>
    <mergeCell ref="E18:F18"/>
    <mergeCell ref="B28:B35"/>
    <mergeCell ref="C28:D28"/>
    <mergeCell ref="E28:F28"/>
    <mergeCell ref="C29:D29"/>
    <mergeCell ref="E29:F29"/>
    <mergeCell ref="B19:B27"/>
    <mergeCell ref="C19:D19"/>
    <mergeCell ref="E19:F19"/>
    <mergeCell ref="C20:D20"/>
    <mergeCell ref="E20:F20"/>
    <mergeCell ref="C21:D21"/>
    <mergeCell ref="E21:F21"/>
    <mergeCell ref="C22:D22"/>
    <mergeCell ref="E22:F22"/>
    <mergeCell ref="C24:D24"/>
    <mergeCell ref="C30:D30"/>
    <mergeCell ref="E30:F30"/>
  </mergeCells>
  <pageMargins left="0.7" right="0.7" top="0.75" bottom="0.75" header="0.3" footer="0.3"/>
  <pageSetup scale="5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2"/>
  <sheetViews>
    <sheetView workbookViewId="0">
      <selection activeCell="J14" sqref="J14"/>
    </sheetView>
  </sheetViews>
  <sheetFormatPr defaultRowHeight="13.8" x14ac:dyDescent="0.25"/>
  <cols>
    <col min="1" max="1" width="8.88671875" style="29"/>
    <col min="2" max="2" width="9.109375" style="29" bestFit="1" customWidth="1"/>
    <col min="3" max="3" width="10.33203125" style="29" bestFit="1" customWidth="1"/>
    <col min="4" max="4" width="9.109375" style="29" bestFit="1" customWidth="1"/>
    <col min="5" max="5" width="10.33203125" style="29" bestFit="1" customWidth="1"/>
    <col min="6" max="6" width="9.109375" style="29" bestFit="1" customWidth="1"/>
    <col min="7" max="7" width="10.33203125" style="29" bestFit="1" customWidth="1"/>
    <col min="8" max="8" width="8.88671875" style="29"/>
    <col min="9" max="9" width="10.33203125" style="29" bestFit="1" customWidth="1"/>
    <col min="10" max="10" width="8.88671875" style="29"/>
    <col min="11" max="11" width="10.33203125" style="29" bestFit="1" customWidth="1"/>
    <col min="12" max="16384" width="8.88671875" style="29"/>
  </cols>
  <sheetData>
    <row r="1" spans="1:11" ht="16.8" x14ac:dyDescent="0.25">
      <c r="A1" s="95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7"/>
    </row>
    <row r="2" spans="1:11" ht="16.8" x14ac:dyDescent="0.25">
      <c r="A2" s="98"/>
      <c r="B2" s="99" t="s">
        <v>76</v>
      </c>
      <c r="C2" s="99"/>
      <c r="D2" s="99" t="s">
        <v>80</v>
      </c>
      <c r="E2" s="99"/>
      <c r="F2" s="99" t="s">
        <v>78</v>
      </c>
      <c r="G2" s="99"/>
      <c r="H2" s="99" t="s">
        <v>77</v>
      </c>
      <c r="I2" s="99"/>
      <c r="J2" s="99" t="s">
        <v>79</v>
      </c>
      <c r="K2" s="100"/>
    </row>
    <row r="3" spans="1:11" ht="16.8" x14ac:dyDescent="0.25">
      <c r="A3" s="98"/>
      <c r="B3" s="4" t="s">
        <v>10</v>
      </c>
      <c r="C3" s="4" t="s">
        <v>11</v>
      </c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11</v>
      </c>
      <c r="J3" s="4" t="s">
        <v>10</v>
      </c>
      <c r="K3" s="5" t="s">
        <v>11</v>
      </c>
    </row>
    <row r="4" spans="1:11" ht="16.8" x14ac:dyDescent="0.25">
      <c r="A4" s="6" t="s">
        <v>2</v>
      </c>
      <c r="B4" s="3">
        <f ca="1">'Sprint 1'!D8</f>
        <v>33</v>
      </c>
      <c r="C4" s="3">
        <f ca="1">'Sprint 1'!E8</f>
        <v>34</v>
      </c>
      <c r="D4" s="3">
        <f ca="1">'Sprint 1'!D9</f>
        <v>33</v>
      </c>
      <c r="E4" s="3">
        <f ca="1">'Sprint 1'!E9</f>
        <v>33</v>
      </c>
      <c r="F4" s="3">
        <f ca="1">'Sprint 1'!D10</f>
        <v>31</v>
      </c>
      <c r="G4" s="3">
        <f ca="1" xml:space="preserve"> 'Sprint 1'!E10</f>
        <v>32</v>
      </c>
      <c r="H4" s="3">
        <f ca="1">'Sprint 1'!D11</f>
        <v>31</v>
      </c>
      <c r="I4" s="3">
        <f ca="1">'Sprint 1'!E11</f>
        <v>31</v>
      </c>
      <c r="J4" s="3">
        <f ca="1">'Sprint 1'!D12</f>
        <v>33</v>
      </c>
      <c r="K4" s="3">
        <f ca="1">'Sprint 1'!E12</f>
        <v>33</v>
      </c>
    </row>
    <row r="5" spans="1:11" ht="16.8" x14ac:dyDescent="0.25">
      <c r="A5" s="6" t="s">
        <v>86</v>
      </c>
      <c r="B5" s="3">
        <f ca="1">'Sprint 2'!D8</f>
        <v>28</v>
      </c>
      <c r="C5" s="3">
        <f ca="1">'Sprint 2'!E8</f>
        <v>28</v>
      </c>
      <c r="D5" s="3">
        <f ca="1">'Sprint 2'!D9</f>
        <v>27</v>
      </c>
      <c r="E5" s="3">
        <f ca="1">'Sprint 2'!E9</f>
        <v>27</v>
      </c>
      <c r="F5" s="3">
        <f ca="1">'Sprint 2'!D10</f>
        <v>28</v>
      </c>
      <c r="G5" s="3">
        <f ca="1">'Sprint 2'!E10</f>
        <v>28</v>
      </c>
      <c r="H5" s="3">
        <f ca="1">'Sprint 2'!D11</f>
        <v>27</v>
      </c>
      <c r="I5" s="3">
        <f ca="1">'Sprint 2'!E11</f>
        <v>28</v>
      </c>
      <c r="J5" s="3">
        <f ca="1">'Sprint 2'!D12</f>
        <v>31</v>
      </c>
      <c r="K5" s="3">
        <f ca="1">'Sprint 2'!E12</f>
        <v>31</v>
      </c>
    </row>
    <row r="6" spans="1:11" ht="16.8" x14ac:dyDescent="0.25">
      <c r="A6" s="6" t="s">
        <v>120</v>
      </c>
      <c r="B6" s="3">
        <f ca="1">'Sprint 3'!D8</f>
        <v>30</v>
      </c>
      <c r="C6" s="3">
        <f ca="1">'Sprint 3'!E8</f>
        <v>30</v>
      </c>
      <c r="D6" s="3">
        <f ca="1">'Sprint 3'!D9</f>
        <v>28</v>
      </c>
      <c r="E6" s="3">
        <f ca="1">'Sprint 3'!E9</f>
        <v>28</v>
      </c>
      <c r="F6" s="3">
        <f ca="1">'Sprint 3'!D10</f>
        <v>29</v>
      </c>
      <c r="G6" s="3">
        <f ca="1">'Sprint 3'!E10</f>
        <v>29</v>
      </c>
      <c r="H6" s="3">
        <f ca="1">'Sprint 3'!D11</f>
        <v>30</v>
      </c>
      <c r="I6" s="3">
        <f ca="1">'Sprint 3'!E11</f>
        <v>30</v>
      </c>
      <c r="J6" s="3">
        <f ca="1">'Sprint 3'!D12</f>
        <v>27</v>
      </c>
      <c r="K6" s="3">
        <f ca="1">'Sprint 3'!E12</f>
        <v>27</v>
      </c>
    </row>
    <row r="7" spans="1:11" ht="17.399999999999999" thickBot="1" x14ac:dyDescent="0.3">
      <c r="A7" s="7" t="s">
        <v>12</v>
      </c>
      <c r="B7" s="8">
        <f ca="1">SUM(B4:B6)</f>
        <v>91</v>
      </c>
      <c r="C7" s="8">
        <f t="shared" ref="C7:K7" ca="1" si="0">SUM(C4:C6)</f>
        <v>92</v>
      </c>
      <c r="D7" s="8">
        <f t="shared" ca="1" si="0"/>
        <v>88</v>
      </c>
      <c r="E7" s="8">
        <f t="shared" ca="1" si="0"/>
        <v>88</v>
      </c>
      <c r="F7" s="8">
        <f t="shared" ca="1" si="0"/>
        <v>88</v>
      </c>
      <c r="G7" s="8">
        <f t="shared" ca="1" si="0"/>
        <v>89</v>
      </c>
      <c r="H7" s="8">
        <f t="shared" ca="1" si="0"/>
        <v>88</v>
      </c>
      <c r="I7" s="8">
        <f t="shared" ca="1" si="0"/>
        <v>89</v>
      </c>
      <c r="J7" s="8">
        <f t="shared" ca="1" si="0"/>
        <v>91</v>
      </c>
      <c r="K7" s="8">
        <f t="shared" ca="1" si="0"/>
        <v>91</v>
      </c>
    </row>
    <row r="9" spans="1:11" ht="14.4" thickBot="1" x14ac:dyDescent="0.3"/>
    <row r="10" spans="1:11" ht="16.8" x14ac:dyDescent="0.3">
      <c r="E10" s="93" t="s">
        <v>156</v>
      </c>
      <c r="F10" s="94"/>
    </row>
    <row r="11" spans="1:11" ht="16.8" x14ac:dyDescent="0.3">
      <c r="E11" s="9" t="s">
        <v>10</v>
      </c>
      <c r="F11" s="10">
        <f ca="1">SUMIF($B$3:$K$3,"Thực tế",$B$7:$K$7)</f>
        <v>446</v>
      </c>
    </row>
    <row r="12" spans="1:11" ht="17.399999999999999" thickBot="1" x14ac:dyDescent="0.35">
      <c r="E12" s="11" t="s">
        <v>11</v>
      </c>
      <c r="F12" s="12">
        <f ca="1">SUMIF($B$3:$K$3,"Ước tính",$B$7:$K$7)</f>
        <v>449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 Bo</cp:lastModifiedBy>
  <cp:lastPrinted>2026-05-14T06:21:58Z</cp:lastPrinted>
  <dcterms:created xsi:type="dcterms:W3CDTF">2015-06-05T18:17:20Z</dcterms:created>
  <dcterms:modified xsi:type="dcterms:W3CDTF">2026-05-14T06:34:07Z</dcterms:modified>
</cp:coreProperties>
</file>